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ppedukh-my.sharepoint.com/personal/choeng_khengseang_2821_rupp_edu_kh/Documents/Documents/4th-year/Business/"/>
    </mc:Choice>
  </mc:AlternateContent>
  <xr:revisionPtr revIDLastSave="6" documentId="8_{F9D9B3D1-3DAC-4958-B8A9-1AB8BCF6F8C3}" xr6:coauthVersionLast="47" xr6:coauthVersionMax="47" xr10:uidLastSave="{B6BA7D2E-01E7-49B6-9C3A-09E4E204BCA3}"/>
  <bookViews>
    <workbookView xWindow="-108" yWindow="-108" windowWidth="23256" windowHeight="12456" firstSheet="1" activeTab="2" xr2:uid="{38D37283-3D55-42F7-955E-E229A6579CAD}"/>
  </bookViews>
  <sheets>
    <sheet name="Sale Forecasting (12 months)" sheetId="6" r:id="rId1"/>
    <sheet name="Operating Expenses (12 monts)" sheetId="18" r:id="rId2"/>
    <sheet name="P&amp;L Statement" sheetId="17" r:id="rId3"/>
    <sheet name="P&amp;L Forecasting (12 Months)" sheetId="8" r:id="rId4"/>
    <sheet name="Start-up Funding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7" l="1"/>
  <c r="N6" i="6"/>
  <c r="N6" i="8"/>
  <c r="B14" i="6"/>
  <c r="B14" i="17"/>
  <c r="B15" i="17"/>
  <c r="B13" i="17"/>
  <c r="B12" i="17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B46" i="8"/>
  <c r="C46" i="8"/>
  <c r="D46" i="8"/>
  <c r="E46" i="8"/>
  <c r="F46" i="8"/>
  <c r="G46" i="8"/>
  <c r="H46" i="8"/>
  <c r="I46" i="8"/>
  <c r="J46" i="8"/>
  <c r="K46" i="8"/>
  <c r="L46" i="8"/>
  <c r="M46" i="8"/>
  <c r="B47" i="8"/>
  <c r="C47" i="8"/>
  <c r="D47" i="8"/>
  <c r="E47" i="8"/>
  <c r="F47" i="8"/>
  <c r="G47" i="8"/>
  <c r="H47" i="8"/>
  <c r="I47" i="8"/>
  <c r="J47" i="8"/>
  <c r="K47" i="8"/>
  <c r="L47" i="8"/>
  <c r="M47" i="8"/>
  <c r="C44" i="8"/>
  <c r="D44" i="8"/>
  <c r="E44" i="8"/>
  <c r="F44" i="8"/>
  <c r="G44" i="8"/>
  <c r="H44" i="8"/>
  <c r="I44" i="8"/>
  <c r="J44" i="8"/>
  <c r="K44" i="8"/>
  <c r="L44" i="8"/>
  <c r="M44" i="8"/>
  <c r="N44" i="8"/>
  <c r="B44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B40" i="8"/>
  <c r="C40" i="8"/>
  <c r="D40" i="8"/>
  <c r="E40" i="8"/>
  <c r="F40" i="8"/>
  <c r="G40" i="8"/>
  <c r="H40" i="8"/>
  <c r="I40" i="8"/>
  <c r="J40" i="8"/>
  <c r="K40" i="8"/>
  <c r="L40" i="8"/>
  <c r="M40" i="8"/>
  <c r="B41" i="8"/>
  <c r="C41" i="8"/>
  <c r="D41" i="8"/>
  <c r="E41" i="8"/>
  <c r="F41" i="8"/>
  <c r="G41" i="8"/>
  <c r="H41" i="8"/>
  <c r="I41" i="8"/>
  <c r="J41" i="8"/>
  <c r="K41" i="8"/>
  <c r="L41" i="8"/>
  <c r="M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C38" i="8"/>
  <c r="D38" i="8"/>
  <c r="E38" i="8"/>
  <c r="F38" i="8"/>
  <c r="G38" i="8"/>
  <c r="H38" i="8"/>
  <c r="I38" i="8"/>
  <c r="J38" i="8"/>
  <c r="K38" i="8"/>
  <c r="L38" i="8"/>
  <c r="M38" i="8"/>
  <c r="B38" i="8"/>
  <c r="N20" i="8"/>
  <c r="N21" i="8"/>
  <c r="N19" i="8"/>
  <c r="N11" i="8"/>
  <c r="N12" i="8"/>
  <c r="N7" i="8"/>
  <c r="N8" i="8"/>
  <c r="B33" i="8"/>
  <c r="I33" i="8"/>
  <c r="J33" i="8"/>
  <c r="B29" i="8"/>
  <c r="I29" i="8"/>
  <c r="J29" i="8"/>
  <c r="M30" i="8"/>
  <c r="C28" i="8"/>
  <c r="B24" i="8"/>
  <c r="H24" i="8"/>
  <c r="B25" i="8"/>
  <c r="D25" i="8"/>
  <c r="F25" i="8"/>
  <c r="L25" i="8"/>
  <c r="M23" i="8"/>
  <c r="B20" i="8"/>
  <c r="C20" i="8"/>
  <c r="D20" i="8"/>
  <c r="E20" i="8"/>
  <c r="F20" i="8"/>
  <c r="G20" i="8"/>
  <c r="H20" i="8"/>
  <c r="I20" i="8"/>
  <c r="J20" i="8"/>
  <c r="K20" i="8"/>
  <c r="L20" i="8"/>
  <c r="M20" i="8"/>
  <c r="B21" i="8"/>
  <c r="C21" i="8"/>
  <c r="D21" i="8"/>
  <c r="E21" i="8"/>
  <c r="F21" i="8"/>
  <c r="G21" i="8"/>
  <c r="H21" i="8"/>
  <c r="I21" i="8"/>
  <c r="J21" i="8"/>
  <c r="K21" i="8"/>
  <c r="L21" i="8"/>
  <c r="M21" i="8"/>
  <c r="C19" i="8"/>
  <c r="D19" i="8"/>
  <c r="E19" i="8"/>
  <c r="F19" i="8"/>
  <c r="G19" i="8"/>
  <c r="H19" i="8"/>
  <c r="I19" i="8"/>
  <c r="J19" i="8"/>
  <c r="K19" i="8"/>
  <c r="L19" i="8"/>
  <c r="M19" i="8"/>
  <c r="B19" i="8"/>
  <c r="B15" i="8"/>
  <c r="D15" i="8"/>
  <c r="J15" i="8"/>
  <c r="L15" i="8"/>
  <c r="B11" i="8"/>
  <c r="C11" i="8"/>
  <c r="D11" i="8"/>
  <c r="E11" i="8"/>
  <c r="F11" i="8"/>
  <c r="G11" i="8"/>
  <c r="H11" i="8"/>
  <c r="I11" i="8"/>
  <c r="J11" i="8"/>
  <c r="K11" i="8"/>
  <c r="L11" i="8"/>
  <c r="M11" i="8"/>
  <c r="B12" i="8"/>
  <c r="C12" i="8"/>
  <c r="D12" i="8"/>
  <c r="E12" i="8"/>
  <c r="F12" i="8"/>
  <c r="G12" i="8"/>
  <c r="H12" i="8"/>
  <c r="I12" i="8"/>
  <c r="J12" i="8"/>
  <c r="K12" i="8"/>
  <c r="L12" i="8"/>
  <c r="M12" i="8"/>
  <c r="C10" i="8"/>
  <c r="D10" i="8"/>
  <c r="E10" i="8"/>
  <c r="F10" i="8"/>
  <c r="G10" i="8"/>
  <c r="H10" i="8"/>
  <c r="I10" i="8"/>
  <c r="J10" i="8"/>
  <c r="K10" i="8"/>
  <c r="L10" i="8"/>
  <c r="M10" i="8"/>
  <c r="B10" i="8"/>
  <c r="B7" i="8"/>
  <c r="C7" i="8"/>
  <c r="D7" i="8"/>
  <c r="E7" i="8"/>
  <c r="F7" i="8"/>
  <c r="G7" i="8"/>
  <c r="H7" i="8"/>
  <c r="I7" i="8"/>
  <c r="J7" i="8"/>
  <c r="K7" i="8"/>
  <c r="L7" i="8"/>
  <c r="M7" i="8"/>
  <c r="B8" i="8"/>
  <c r="C8" i="8"/>
  <c r="D8" i="8"/>
  <c r="E8" i="8"/>
  <c r="F8" i="8"/>
  <c r="G8" i="8"/>
  <c r="H8" i="8"/>
  <c r="I8" i="8"/>
  <c r="J8" i="8"/>
  <c r="K8" i="8"/>
  <c r="L8" i="8"/>
  <c r="M8" i="8"/>
  <c r="C6" i="8"/>
  <c r="D6" i="8"/>
  <c r="E6" i="8"/>
  <c r="F6" i="8"/>
  <c r="G6" i="8"/>
  <c r="H6" i="8"/>
  <c r="I6" i="8"/>
  <c r="J6" i="8"/>
  <c r="K6" i="8"/>
  <c r="L6" i="8"/>
  <c r="M6" i="8"/>
  <c r="B6" i="8"/>
  <c r="N51" i="8"/>
  <c r="N50" i="8"/>
  <c r="N7" i="18"/>
  <c r="B9" i="17" s="1"/>
  <c r="N8" i="18"/>
  <c r="B10" i="17" s="1"/>
  <c r="N9" i="18"/>
  <c r="B11" i="17" s="1"/>
  <c r="N10" i="18"/>
  <c r="M16" i="18"/>
  <c r="M48" i="8" s="1"/>
  <c r="L16" i="18"/>
  <c r="L48" i="8" s="1"/>
  <c r="K16" i="18"/>
  <c r="K48" i="8" s="1"/>
  <c r="J16" i="18"/>
  <c r="J48" i="8" s="1"/>
  <c r="I16" i="18"/>
  <c r="I48" i="8" s="1"/>
  <c r="H16" i="18"/>
  <c r="H48" i="8" s="1"/>
  <c r="G16" i="18"/>
  <c r="G48" i="8" s="1"/>
  <c r="F16" i="18"/>
  <c r="F48" i="8" s="1"/>
  <c r="E16" i="18"/>
  <c r="E48" i="8" s="1"/>
  <c r="D16" i="18"/>
  <c r="D48" i="8" s="1"/>
  <c r="C16" i="18"/>
  <c r="C48" i="8" s="1"/>
  <c r="B16" i="18"/>
  <c r="B48" i="8" s="1"/>
  <c r="N15" i="18"/>
  <c r="B16" i="17" s="1"/>
  <c r="N14" i="18"/>
  <c r="N46" i="8" s="1"/>
  <c r="N13" i="18"/>
  <c r="N12" i="18"/>
  <c r="N6" i="18"/>
  <c r="B8" i="17" s="1"/>
  <c r="M30" i="6"/>
  <c r="M34" i="6" s="1"/>
  <c r="M34" i="8" s="1"/>
  <c r="L30" i="6"/>
  <c r="L34" i="6" s="1"/>
  <c r="L34" i="8" s="1"/>
  <c r="K30" i="6"/>
  <c r="K34" i="6" s="1"/>
  <c r="K34" i="8" s="1"/>
  <c r="J30" i="6"/>
  <c r="J34" i="6" s="1"/>
  <c r="J34" i="8" s="1"/>
  <c r="I30" i="6"/>
  <c r="I34" i="6" s="1"/>
  <c r="I34" i="8" s="1"/>
  <c r="H30" i="6"/>
  <c r="H34" i="6" s="1"/>
  <c r="H34" i="8" s="1"/>
  <c r="G30" i="6"/>
  <c r="G34" i="6" s="1"/>
  <c r="G34" i="8" s="1"/>
  <c r="F30" i="6"/>
  <c r="F34" i="6" s="1"/>
  <c r="F34" i="8" s="1"/>
  <c r="E30" i="6"/>
  <c r="E34" i="6" s="1"/>
  <c r="E34" i="8" s="1"/>
  <c r="D30" i="6"/>
  <c r="D34" i="6" s="1"/>
  <c r="D34" i="8" s="1"/>
  <c r="C30" i="6"/>
  <c r="C34" i="6" s="1"/>
  <c r="C34" i="8" s="1"/>
  <c r="B30" i="6"/>
  <c r="B34" i="6" s="1"/>
  <c r="B34" i="8" s="1"/>
  <c r="M29" i="6"/>
  <c r="M33" i="6" s="1"/>
  <c r="M33" i="8" s="1"/>
  <c r="L29" i="6"/>
  <c r="L33" i="6" s="1"/>
  <c r="L33" i="8" s="1"/>
  <c r="K29" i="6"/>
  <c r="K33" i="6" s="1"/>
  <c r="K33" i="8" s="1"/>
  <c r="J29" i="6"/>
  <c r="J33" i="6" s="1"/>
  <c r="I29" i="6"/>
  <c r="I33" i="6" s="1"/>
  <c r="H29" i="6"/>
  <c r="H33" i="6" s="1"/>
  <c r="H33" i="8" s="1"/>
  <c r="G29" i="6"/>
  <c r="G33" i="6" s="1"/>
  <c r="G33" i="8" s="1"/>
  <c r="F29" i="6"/>
  <c r="F33" i="6" s="1"/>
  <c r="F33" i="8" s="1"/>
  <c r="E29" i="6"/>
  <c r="E33" i="6" s="1"/>
  <c r="E33" i="8" s="1"/>
  <c r="D29" i="6"/>
  <c r="D33" i="6" s="1"/>
  <c r="D33" i="8" s="1"/>
  <c r="C29" i="6"/>
  <c r="C33" i="6" s="1"/>
  <c r="C33" i="8" s="1"/>
  <c r="B29" i="6"/>
  <c r="B33" i="6" s="1"/>
  <c r="M28" i="6"/>
  <c r="M32" i="6" s="1"/>
  <c r="M32" i="8" s="1"/>
  <c r="L28" i="6"/>
  <c r="L32" i="6" s="1"/>
  <c r="L32" i="8" s="1"/>
  <c r="K28" i="6"/>
  <c r="K32" i="6" s="1"/>
  <c r="K32" i="8" s="1"/>
  <c r="J28" i="6"/>
  <c r="J32" i="6" s="1"/>
  <c r="J32" i="8" s="1"/>
  <c r="I28" i="6"/>
  <c r="I32" i="6" s="1"/>
  <c r="I32" i="8" s="1"/>
  <c r="H28" i="6"/>
  <c r="H32" i="6" s="1"/>
  <c r="H32" i="8" s="1"/>
  <c r="G28" i="6"/>
  <c r="G32" i="6" s="1"/>
  <c r="G32" i="8" s="1"/>
  <c r="F28" i="6"/>
  <c r="F32" i="6" s="1"/>
  <c r="F32" i="8" s="1"/>
  <c r="E28" i="6"/>
  <c r="E32" i="6" s="1"/>
  <c r="E32" i="8" s="1"/>
  <c r="D28" i="6"/>
  <c r="D32" i="6" s="1"/>
  <c r="D32" i="8" s="1"/>
  <c r="C28" i="6"/>
  <c r="C32" i="6" s="1"/>
  <c r="C32" i="8" s="1"/>
  <c r="B28" i="6"/>
  <c r="B32" i="6" s="1"/>
  <c r="B32" i="8" s="1"/>
  <c r="M25" i="8"/>
  <c r="K25" i="8"/>
  <c r="J25" i="8"/>
  <c r="I25" i="8"/>
  <c r="H25" i="8"/>
  <c r="G25" i="8"/>
  <c r="E25" i="8"/>
  <c r="C25" i="8"/>
  <c r="M24" i="8"/>
  <c r="L24" i="8"/>
  <c r="K24" i="8"/>
  <c r="J24" i="8"/>
  <c r="I24" i="8"/>
  <c r="G24" i="8"/>
  <c r="F24" i="8"/>
  <c r="E24" i="8"/>
  <c r="D24" i="8"/>
  <c r="C24" i="8"/>
  <c r="M23" i="6"/>
  <c r="L23" i="6"/>
  <c r="K23" i="6"/>
  <c r="K23" i="8" s="1"/>
  <c r="J23" i="6"/>
  <c r="I23" i="6"/>
  <c r="I23" i="8" s="1"/>
  <c r="H23" i="6"/>
  <c r="H23" i="8" s="1"/>
  <c r="G23" i="6"/>
  <c r="G23" i="8" s="1"/>
  <c r="F23" i="6"/>
  <c r="F23" i="8" s="1"/>
  <c r="E23" i="6"/>
  <c r="E23" i="8" s="1"/>
  <c r="D23" i="6"/>
  <c r="C23" i="6"/>
  <c r="C23" i="8" s="1"/>
  <c r="B23" i="6"/>
  <c r="N30" i="8"/>
  <c r="N24" i="8"/>
  <c r="N19" i="6"/>
  <c r="M16" i="6"/>
  <c r="M16" i="8" s="1"/>
  <c r="L16" i="6"/>
  <c r="L16" i="8" s="1"/>
  <c r="K16" i="6"/>
  <c r="K16" i="8" s="1"/>
  <c r="J16" i="6"/>
  <c r="J16" i="8" s="1"/>
  <c r="I16" i="6"/>
  <c r="I16" i="8" s="1"/>
  <c r="H16" i="6"/>
  <c r="H16" i="8" s="1"/>
  <c r="G16" i="6"/>
  <c r="G16" i="8" s="1"/>
  <c r="F16" i="6"/>
  <c r="F16" i="8" s="1"/>
  <c r="E16" i="6"/>
  <c r="E16" i="8" s="1"/>
  <c r="D16" i="6"/>
  <c r="D16" i="8" s="1"/>
  <c r="C16" i="6"/>
  <c r="C16" i="8" s="1"/>
  <c r="B16" i="6"/>
  <c r="B16" i="8" s="1"/>
  <c r="M15" i="6"/>
  <c r="M15" i="8" s="1"/>
  <c r="L15" i="6"/>
  <c r="K15" i="6"/>
  <c r="K15" i="8" s="1"/>
  <c r="J15" i="6"/>
  <c r="I15" i="6"/>
  <c r="I15" i="8" s="1"/>
  <c r="H15" i="6"/>
  <c r="H15" i="8" s="1"/>
  <c r="G15" i="6"/>
  <c r="G15" i="8" s="1"/>
  <c r="F15" i="6"/>
  <c r="F15" i="8" s="1"/>
  <c r="E15" i="6"/>
  <c r="E15" i="8" s="1"/>
  <c r="D15" i="6"/>
  <c r="C15" i="6"/>
  <c r="C15" i="8" s="1"/>
  <c r="B15" i="6"/>
  <c r="M14" i="6"/>
  <c r="M14" i="8" s="1"/>
  <c r="L14" i="6"/>
  <c r="L14" i="8" s="1"/>
  <c r="K14" i="6"/>
  <c r="K14" i="8" s="1"/>
  <c r="J14" i="6"/>
  <c r="J14" i="8" s="1"/>
  <c r="I14" i="6"/>
  <c r="H14" i="6"/>
  <c r="H14" i="8" s="1"/>
  <c r="G14" i="6"/>
  <c r="G14" i="8" s="1"/>
  <c r="F14" i="6"/>
  <c r="F14" i="8" s="1"/>
  <c r="E14" i="6"/>
  <c r="E14" i="8" s="1"/>
  <c r="D14" i="6"/>
  <c r="D14" i="8" s="1"/>
  <c r="C14" i="6"/>
  <c r="C14" i="8" s="1"/>
  <c r="B14" i="8"/>
  <c r="N10" i="6"/>
  <c r="N28" i="6" s="1"/>
  <c r="N28" i="8" s="1"/>
  <c r="N47" i="8" l="1"/>
  <c r="N41" i="8"/>
  <c r="N38" i="8"/>
  <c r="N40" i="8"/>
  <c r="I30" i="8"/>
  <c r="B26" i="6"/>
  <c r="B26" i="8" s="1"/>
  <c r="F30" i="8"/>
  <c r="E30" i="8"/>
  <c r="E29" i="8"/>
  <c r="L30" i="8"/>
  <c r="J26" i="6"/>
  <c r="J26" i="8" s="1"/>
  <c r="D26" i="6"/>
  <c r="D26" i="8" s="1"/>
  <c r="M29" i="8"/>
  <c r="M28" i="8"/>
  <c r="L28" i="8"/>
  <c r="K28" i="8"/>
  <c r="E28" i="8"/>
  <c r="D28" i="8"/>
  <c r="B28" i="8"/>
  <c r="L29" i="8"/>
  <c r="G30" i="8"/>
  <c r="C29" i="8"/>
  <c r="D30" i="8"/>
  <c r="H29" i="8"/>
  <c r="K30" i="8"/>
  <c r="C30" i="8"/>
  <c r="G29" i="8"/>
  <c r="H30" i="8"/>
  <c r="D29" i="8"/>
  <c r="K29" i="8"/>
  <c r="I17" i="6"/>
  <c r="I17" i="8" s="1"/>
  <c r="J30" i="8"/>
  <c r="B30" i="8"/>
  <c r="F29" i="8"/>
  <c r="J28" i="8"/>
  <c r="I28" i="8"/>
  <c r="H28" i="8"/>
  <c r="G28" i="8"/>
  <c r="F28" i="8"/>
  <c r="N10" i="8"/>
  <c r="I14" i="8"/>
  <c r="J23" i="8"/>
  <c r="F26" i="6"/>
  <c r="F26" i="8" s="1"/>
  <c r="B23" i="8"/>
  <c r="L26" i="6"/>
  <c r="L26" i="8" s="1"/>
  <c r="L23" i="8"/>
  <c r="D23" i="8"/>
  <c r="B17" i="17"/>
  <c r="N16" i="18"/>
  <c r="N48" i="8" s="1"/>
  <c r="C26" i="6"/>
  <c r="C26" i="8" s="1"/>
  <c r="K26" i="6"/>
  <c r="K26" i="8" s="1"/>
  <c r="N16" i="6"/>
  <c r="N16" i="8" s="1"/>
  <c r="F17" i="6"/>
  <c r="F17" i="8" s="1"/>
  <c r="B17" i="6"/>
  <c r="B17" i="8" s="1"/>
  <c r="J17" i="6"/>
  <c r="J17" i="8" s="1"/>
  <c r="N23" i="6"/>
  <c r="K17" i="6"/>
  <c r="K17" i="8" s="1"/>
  <c r="N32" i="6"/>
  <c r="N32" i="8" s="1"/>
  <c r="G17" i="6"/>
  <c r="G17" i="8" s="1"/>
  <c r="C17" i="6"/>
  <c r="C17" i="8" s="1"/>
  <c r="H17" i="6"/>
  <c r="H17" i="8" s="1"/>
  <c r="D17" i="6"/>
  <c r="D17" i="8" s="1"/>
  <c r="L17" i="6"/>
  <c r="L17" i="8" s="1"/>
  <c r="C35" i="6"/>
  <c r="C35" i="8" s="1"/>
  <c r="K35" i="6"/>
  <c r="K35" i="8" s="1"/>
  <c r="N34" i="8"/>
  <c r="E17" i="6"/>
  <c r="E17" i="8" s="1"/>
  <c r="D35" i="6"/>
  <c r="D35" i="8" s="1"/>
  <c r="L35" i="6"/>
  <c r="L35" i="8" s="1"/>
  <c r="N15" i="6"/>
  <c r="E35" i="6"/>
  <c r="E35" i="8" s="1"/>
  <c r="M35" i="6"/>
  <c r="M35" i="8" s="1"/>
  <c r="H35" i="6"/>
  <c r="H35" i="8" s="1"/>
  <c r="M17" i="6"/>
  <c r="M17" i="8" s="1"/>
  <c r="N14" i="6"/>
  <c r="N14" i="8" s="1"/>
  <c r="H26" i="6"/>
  <c r="H26" i="8" s="1"/>
  <c r="G26" i="6"/>
  <c r="G26" i="8" s="1"/>
  <c r="N25" i="8"/>
  <c r="I26" i="6"/>
  <c r="I26" i="8" s="1"/>
  <c r="E26" i="6"/>
  <c r="E26" i="8" s="1"/>
  <c r="M26" i="6"/>
  <c r="M26" i="8" s="1"/>
  <c r="B35" i="6"/>
  <c r="B35" i="8" s="1"/>
  <c r="F35" i="6"/>
  <c r="F35" i="8" s="1"/>
  <c r="I35" i="6"/>
  <c r="I35" i="8" s="1"/>
  <c r="G35" i="6"/>
  <c r="G35" i="8" s="1"/>
  <c r="J35" i="6"/>
  <c r="J35" i="8" s="1"/>
  <c r="N33" i="8" l="1"/>
  <c r="N29" i="8"/>
  <c r="N26" i="6"/>
  <c r="N23" i="8"/>
  <c r="N17" i="6"/>
  <c r="N15" i="8"/>
  <c r="C11" i="12"/>
  <c r="N35" i="6" l="1"/>
  <c r="N35" i="8" s="1"/>
  <c r="N17" i="8"/>
  <c r="B6" i="17"/>
  <c r="N26" i="8"/>
  <c r="F49" i="8"/>
  <c r="D52" i="8"/>
  <c r="L52" i="8"/>
  <c r="E52" i="8"/>
  <c r="M52" i="8"/>
  <c r="F52" i="8"/>
  <c r="B52" i="8"/>
  <c r="J52" i="8"/>
  <c r="H52" i="8"/>
  <c r="I52" i="8"/>
  <c r="K49" i="8"/>
  <c r="K52" i="8"/>
  <c r="C49" i="8"/>
  <c r="M49" i="8"/>
  <c r="C52" i="8"/>
  <c r="G49" i="8"/>
  <c r="E49" i="8"/>
  <c r="I49" i="8"/>
  <c r="I53" i="8" s="1"/>
  <c r="G52" i="8"/>
  <c r="B49" i="8"/>
  <c r="J49" i="8"/>
  <c r="D49" i="8"/>
  <c r="H49" i="8"/>
  <c r="L49" i="8"/>
  <c r="L53" i="8" l="1"/>
  <c r="B7" i="17"/>
  <c r="B18" i="17" s="1"/>
  <c r="B20" i="17"/>
  <c r="B21" i="17" s="1"/>
  <c r="G53" i="8"/>
  <c r="D53" i="8"/>
  <c r="E53" i="8"/>
  <c r="K53" i="8"/>
  <c r="H53" i="8"/>
  <c r="J53" i="8"/>
  <c r="M53" i="8"/>
  <c r="F53" i="8"/>
  <c r="C53" i="8"/>
  <c r="B53" i="8"/>
  <c r="N49" i="8"/>
  <c r="B22" i="17" l="1"/>
  <c r="N52" i="8"/>
  <c r="N53" i="8" s="1"/>
</calcChain>
</file>

<file path=xl/sharedStrings.xml><?xml version="1.0" encoding="utf-8"?>
<sst xmlns="http://schemas.openxmlformats.org/spreadsheetml/2006/main" count="196" uniqueCount="89">
  <si>
    <t>Gross Profit</t>
  </si>
  <si>
    <t>Units Sold</t>
  </si>
  <si>
    <t>Product/Service A</t>
  </si>
  <si>
    <t>Product/Service B</t>
  </si>
  <si>
    <t>Product/Service C</t>
  </si>
  <si>
    <t>Unit Price</t>
  </si>
  <si>
    <t>Revenue</t>
  </si>
  <si>
    <t>Total Revenue</t>
  </si>
  <si>
    <t>Total Gross Profit</t>
  </si>
  <si>
    <t>1-Year</t>
  </si>
  <si>
    <t>Total Units Sold</t>
  </si>
  <si>
    <t>Avg Unit Price</t>
  </si>
  <si>
    <t>Avg COGS</t>
  </si>
  <si>
    <t>(Units Sold * Unit Price)</t>
  </si>
  <si>
    <t>Margin Per Unit</t>
  </si>
  <si>
    <t>(Revenue - COGS or Margin Per Unit * Unit Sold)</t>
  </si>
  <si>
    <t>(Unit Price - Unit COGS)</t>
  </si>
  <si>
    <t>Operating Expenses</t>
  </si>
  <si>
    <t>Marketing and Advertising</t>
  </si>
  <si>
    <t xml:space="preserve">Total Operating Expenses </t>
  </si>
  <si>
    <t xml:space="preserve">Sale Revenue </t>
  </si>
  <si>
    <t xml:space="preserve">Operating Expenses </t>
  </si>
  <si>
    <t>Operating Income</t>
  </si>
  <si>
    <t xml:space="preserve">[Company's Name]                                                                                                                                               ​​​​​​​​​​                                                                                                                                                                                     [Forecast Start Date]                                                                                                                                                </t>
  </si>
  <si>
    <t xml:space="preserve">[Company's Name]                                                                                                                                                                                                                                                                                                      [Forecast Start Date]                                                         </t>
  </si>
  <si>
    <t>Jan</t>
  </si>
  <si>
    <t>Feb</t>
  </si>
  <si>
    <t>Mar</t>
  </si>
  <si>
    <t>Apr</t>
  </si>
  <si>
    <t>May</t>
  </si>
  <si>
    <t>Jun</t>
  </si>
  <si>
    <t>Aug</t>
  </si>
  <si>
    <t>Jul</t>
  </si>
  <si>
    <t>Sep</t>
  </si>
  <si>
    <t>Oct</t>
  </si>
  <si>
    <t>Nov</t>
  </si>
  <si>
    <t>Dec</t>
  </si>
  <si>
    <t>Sources and Uses of Funds</t>
  </si>
  <si>
    <t>Sources of Funds</t>
  </si>
  <si>
    <t>Personal Investment</t>
  </si>
  <si>
    <t>Venture Capital</t>
  </si>
  <si>
    <t>Business Incubators</t>
  </si>
  <si>
    <t>Corporate Seed Funds</t>
  </si>
  <si>
    <t>Bank Loans</t>
  </si>
  <si>
    <t>No</t>
  </si>
  <si>
    <t>Amount</t>
  </si>
  <si>
    <t>Total</t>
  </si>
  <si>
    <t>Logo design</t>
  </si>
  <si>
    <t>Stationary and overhead cost</t>
  </si>
  <si>
    <t>Payment fees</t>
  </si>
  <si>
    <t>Travel cost</t>
  </si>
  <si>
    <t>Education, Training fee</t>
  </si>
  <si>
    <t>PR, Advertisement fee</t>
  </si>
  <si>
    <t>Product validation, product market fit</t>
  </si>
  <si>
    <t>Marketing materials</t>
  </si>
  <si>
    <t>Renting workplace</t>
  </si>
  <si>
    <t>Angel investor</t>
  </si>
  <si>
    <t>OPERATION EXPENSE (D)</t>
  </si>
  <si>
    <t>OPERATING INCOME (E= C - D)</t>
  </si>
  <si>
    <t>OTHER INCOME (F)</t>
  </si>
  <si>
    <t>VAT (10% of revenue)</t>
  </si>
  <si>
    <t>TOTAL TAXES (G)</t>
  </si>
  <si>
    <t>NET PROFIT ( H = E + F - G)</t>
  </si>
  <si>
    <t>COGS</t>
  </si>
  <si>
    <t>Total COGS</t>
  </si>
  <si>
    <t>Unit COGS (Cost of Good Sold)</t>
  </si>
  <si>
    <t>(Units Sold * Unit COGS)</t>
  </si>
  <si>
    <t>Other Income</t>
  </si>
  <si>
    <t>General Adminstration</t>
  </si>
  <si>
    <t>Marketing and Advertisement</t>
  </si>
  <si>
    <t>Operating Expenses Forecasting 1-Year (2023)</t>
  </si>
  <si>
    <t>Profit and Loss Forecasting 1-Year (2023)</t>
  </si>
  <si>
    <t>Sales Forecasting 1-Year (2023)</t>
  </si>
  <si>
    <t>Taxes</t>
  </si>
  <si>
    <t>VAT(10%)</t>
  </si>
  <si>
    <t>Profit and Loss</t>
  </si>
  <si>
    <t>Avg Margin</t>
  </si>
  <si>
    <t>Total GA</t>
  </si>
  <si>
    <t>Total MA</t>
  </si>
  <si>
    <t>GROSS PROFIT ( C = A - B )</t>
  </si>
  <si>
    <t>TOTAL SALE REVENUE ( A )</t>
  </si>
  <si>
    <t>TOTAL COST OF SALE ( B )</t>
  </si>
  <si>
    <t xml:space="preserve">[Company's Name]                                                                                                  Period: 2023-2027                                                                                                      </t>
  </si>
  <si>
    <t xml:space="preserve">[Company's Name]                                                                                                                                                                                                                                                                                                      Profit and Loss Projection (12 months)                                                                                                           </t>
  </si>
  <si>
    <t>Profit and Loss Statement</t>
  </si>
  <si>
    <t>Accessories(computer,air-con,table..)</t>
  </si>
  <si>
    <t>Payment Fee</t>
  </si>
  <si>
    <t>IT, Admin, Finance</t>
  </si>
  <si>
    <t>App 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</si>
</sst>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18"/>
      <color rgb="FF0070C0"/>
      <name val="Arial"/>
      <family val="2"/>
    </font>
    <font>
      <b/>
      <sz val="12"/>
      <color rgb="FF0070C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rgb="FF0070C0"/>
      <name val="Arial"/>
      <family val="2"/>
    </font>
    <font>
      <b/>
      <sz val="11"/>
      <color rgb="FF0070C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8" fillId="0" borderId="4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44" fontId="1" fillId="0" borderId="1" xfId="1" applyFont="1" applyBorder="1"/>
    <xf numFmtId="44" fontId="1" fillId="0" borderId="2" xfId="1" applyFont="1" applyBorder="1"/>
    <xf numFmtId="44" fontId="1" fillId="0" borderId="0" xfId="1" applyFont="1" applyBorder="1"/>
    <xf numFmtId="0" fontId="7" fillId="2" borderId="0" xfId="0" applyFont="1" applyFill="1" applyAlignment="1">
      <alignment horizontal="left" vertical="center"/>
    </xf>
    <xf numFmtId="164" fontId="7" fillId="2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6" xfId="0" applyFont="1" applyFill="1" applyBorder="1" applyAlignment="1">
      <alignment vertical="center"/>
    </xf>
    <xf numFmtId="44" fontId="2" fillId="2" borderId="0" xfId="0" applyNumberFormat="1" applyFont="1" applyFill="1" applyAlignment="1">
      <alignment vertical="center"/>
    </xf>
    <xf numFmtId="4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0" xfId="0" applyFont="1" applyFill="1"/>
    <xf numFmtId="44" fontId="2" fillId="3" borderId="3" xfId="0" applyNumberFormat="1" applyFont="1" applyFill="1" applyBorder="1"/>
    <xf numFmtId="44" fontId="2" fillId="3" borderId="0" xfId="0" applyNumberFormat="1" applyFont="1" applyFill="1"/>
    <xf numFmtId="164" fontId="2" fillId="0" borderId="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44" fontId="1" fillId="0" borderId="0" xfId="1" applyFont="1" applyFill="1" applyBorder="1"/>
    <xf numFmtId="0" fontId="11" fillId="4" borderId="4" xfId="0" applyFont="1" applyFill="1" applyBorder="1" applyAlignment="1" applyProtection="1">
      <alignment vertical="center"/>
      <protection locked="0"/>
    </xf>
    <xf numFmtId="44" fontId="2" fillId="4" borderId="2" xfId="1" applyFont="1" applyFill="1" applyBorder="1"/>
    <xf numFmtId="44" fontId="2" fillId="0" borderId="2" xfId="1" applyFont="1" applyFill="1" applyBorder="1"/>
    <xf numFmtId="44" fontId="2" fillId="0" borderId="1" xfId="1" applyFont="1" applyFill="1" applyBorder="1"/>
    <xf numFmtId="0" fontId="12" fillId="5" borderId="0" xfId="0" applyFont="1" applyFill="1" applyAlignment="1">
      <alignment vertical="center"/>
    </xf>
    <xf numFmtId="164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 applyAlignment="1">
      <alignment horizontal="center"/>
    </xf>
    <xf numFmtId="44" fontId="13" fillId="0" borderId="1" xfId="0" applyNumberFormat="1" applyFont="1" applyBorder="1"/>
    <xf numFmtId="0" fontId="15" fillId="0" borderId="1" xfId="0" applyFont="1" applyBorder="1" applyAlignment="1">
      <alignment horizontal="center"/>
    </xf>
    <xf numFmtId="44" fontId="13" fillId="0" borderId="0" xfId="0" applyNumberFormat="1" applyFont="1"/>
    <xf numFmtId="0" fontId="17" fillId="0" borderId="11" xfId="0" applyFont="1" applyBorder="1"/>
    <xf numFmtId="0" fontId="17" fillId="0" borderId="7" xfId="0" applyFont="1" applyBorder="1"/>
    <xf numFmtId="0" fontId="17" fillId="0" borderId="12" xfId="0" applyFont="1" applyBorder="1" applyAlignment="1">
      <alignment horizontal="left"/>
    </xf>
    <xf numFmtId="165" fontId="17" fillId="0" borderId="13" xfId="0" applyNumberFormat="1" applyFont="1" applyBorder="1"/>
    <xf numFmtId="0" fontId="17" fillId="0" borderId="12" xfId="0" applyFont="1" applyBorder="1"/>
    <xf numFmtId="0" fontId="0" fillId="0" borderId="12" xfId="0" applyBorder="1" applyAlignment="1">
      <alignment horizontal="left" indent="1"/>
    </xf>
    <xf numFmtId="165" fontId="0" fillId="0" borderId="13" xfId="0" applyNumberFormat="1" applyBorder="1"/>
    <xf numFmtId="0" fontId="0" fillId="0" borderId="12" xfId="0" applyBorder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164" fontId="3" fillId="5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8" fillId="0" borderId="4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4" fontId="1" fillId="0" borderId="1" xfId="1" applyFont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44" fontId="1" fillId="0" borderId="2" xfId="1" applyFont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44" fontId="2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2" fillId="3" borderId="8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44" fontId="3" fillId="6" borderId="1" xfId="1" applyFont="1" applyFill="1" applyBorder="1" applyAlignment="1">
      <alignment horizontal="left" vertical="center"/>
    </xf>
    <xf numFmtId="44" fontId="1" fillId="0" borderId="7" xfId="1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44" fontId="3" fillId="8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3" fontId="3" fillId="7" borderId="1" xfId="0" applyNumberFormat="1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44" fontId="1" fillId="9" borderId="1" xfId="1" applyFont="1" applyFill="1" applyBorder="1" applyAlignment="1">
      <alignment horizontal="left" vertical="center"/>
    </xf>
    <xf numFmtId="44" fontId="2" fillId="9" borderId="1" xfId="1" applyFont="1" applyFill="1" applyBorder="1" applyAlignment="1">
      <alignment horizontal="left" vertical="center"/>
    </xf>
    <xf numFmtId="44" fontId="2" fillId="9" borderId="2" xfId="1" applyFont="1" applyFill="1" applyBorder="1" applyAlignment="1">
      <alignment horizontal="left" vertical="center"/>
    </xf>
    <xf numFmtId="44" fontId="2" fillId="9" borderId="7" xfId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4" fontId="3" fillId="6" borderId="1" xfId="0" applyNumberFormat="1" applyFont="1" applyFill="1" applyBorder="1" applyAlignment="1">
      <alignment horizontal="left" vertical="center"/>
    </xf>
    <xf numFmtId="165" fontId="13" fillId="0" borderId="13" xfId="0" applyNumberFormat="1" applyFont="1" applyBorder="1"/>
    <xf numFmtId="165" fontId="17" fillId="9" borderId="5" xfId="0" applyNumberFormat="1" applyFont="1" applyFill="1" applyBorder="1"/>
    <xf numFmtId="0" fontId="17" fillId="9" borderId="14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right"/>
    </xf>
    <xf numFmtId="0" fontId="13" fillId="0" borderId="1" xfId="0" applyFont="1" applyBorder="1" applyAlignment="1">
      <alignment horizontal="right"/>
    </xf>
    <xf numFmtId="0" fontId="13" fillId="0" borderId="10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CEB8-9C6F-4956-9A59-4F1F2A01F203}">
  <dimension ref="A1:N35"/>
  <sheetViews>
    <sheetView topLeftCell="A18" zoomScale="79" zoomScaleNormal="100" workbookViewId="0">
      <selection activeCell="L39" sqref="L39"/>
    </sheetView>
  </sheetViews>
  <sheetFormatPr defaultColWidth="9" defaultRowHeight="13.8" x14ac:dyDescent="0.25"/>
  <cols>
    <col min="1" max="1" width="32.77734375" style="1" customWidth="1"/>
    <col min="2" max="14" width="16" style="1" customWidth="1"/>
    <col min="15" max="16384" width="9" style="1"/>
  </cols>
  <sheetData>
    <row r="1" spans="1:14" ht="27.75" customHeight="1" x14ac:dyDescent="0.25">
      <c r="A1" s="102" t="s">
        <v>72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ht="25.2" customHeight="1" x14ac:dyDescent="0.25">
      <c r="A2" s="4" t="s">
        <v>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ht="19.5" customHeight="1" x14ac:dyDescent="0.25"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32</v>
      </c>
      <c r="I3" s="5" t="s">
        <v>31</v>
      </c>
      <c r="J3" s="5" t="s">
        <v>33</v>
      </c>
      <c r="K3" s="5" t="s">
        <v>34</v>
      </c>
      <c r="L3" s="5" t="s">
        <v>35</v>
      </c>
      <c r="M3" s="5" t="s">
        <v>36</v>
      </c>
      <c r="N3" s="6" t="s">
        <v>9</v>
      </c>
    </row>
    <row r="4" spans="1:14" ht="15.6" x14ac:dyDescent="0.25">
      <c r="A4" s="42" t="s">
        <v>20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</row>
    <row r="5" spans="1:14" x14ac:dyDescent="0.25">
      <c r="A5" s="15" t="s">
        <v>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5" t="s">
        <v>10</v>
      </c>
    </row>
    <row r="6" spans="1:14" x14ac:dyDescent="0.25">
      <c r="A6" s="10" t="s">
        <v>2</v>
      </c>
      <c r="B6" s="2">
        <v>250</v>
      </c>
      <c r="C6" s="2">
        <v>300</v>
      </c>
      <c r="D6" s="2">
        <v>340</v>
      </c>
      <c r="E6" s="2">
        <v>380</v>
      </c>
      <c r="F6" s="2">
        <v>400</v>
      </c>
      <c r="G6" s="2">
        <v>420</v>
      </c>
      <c r="H6" s="2">
        <v>500</v>
      </c>
      <c r="I6" s="2">
        <v>550</v>
      </c>
      <c r="J6" s="2">
        <v>650</v>
      </c>
      <c r="K6" s="2">
        <v>700</v>
      </c>
      <c r="L6" s="2">
        <v>800</v>
      </c>
      <c r="M6" s="2">
        <v>1000</v>
      </c>
      <c r="N6" s="26">
        <f>SUM(B6:M6)</f>
        <v>6290</v>
      </c>
    </row>
    <row r="7" spans="1:14" x14ac:dyDescent="0.25">
      <c r="A7" s="10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6"/>
    </row>
    <row r="8" spans="1:14" x14ac:dyDescent="0.25">
      <c r="A8" s="10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6"/>
    </row>
    <row r="9" spans="1:14" x14ac:dyDescent="0.25">
      <c r="A9" s="18" t="s">
        <v>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7" t="s">
        <v>11</v>
      </c>
    </row>
    <row r="10" spans="1:14" x14ac:dyDescent="0.25">
      <c r="A10" s="10" t="s">
        <v>2</v>
      </c>
      <c r="B10" s="12">
        <v>20</v>
      </c>
      <c r="C10" s="12">
        <v>20</v>
      </c>
      <c r="D10" s="12">
        <v>20</v>
      </c>
      <c r="E10" s="12">
        <v>20</v>
      </c>
      <c r="F10" s="12">
        <v>20</v>
      </c>
      <c r="G10" s="12">
        <v>20</v>
      </c>
      <c r="H10" s="12">
        <v>20</v>
      </c>
      <c r="I10" s="12">
        <v>20</v>
      </c>
      <c r="J10" s="12">
        <v>20</v>
      </c>
      <c r="K10" s="12">
        <v>20</v>
      </c>
      <c r="L10" s="12">
        <v>20</v>
      </c>
      <c r="M10" s="12">
        <v>20</v>
      </c>
      <c r="N10" s="25">
        <f>AVERAGE(B10:M10)</f>
        <v>20</v>
      </c>
    </row>
    <row r="11" spans="1:14" x14ac:dyDescent="0.25">
      <c r="A11" s="10" t="s">
        <v>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5"/>
    </row>
    <row r="12" spans="1:14" x14ac:dyDescent="0.25">
      <c r="A12" s="10" t="s">
        <v>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5"/>
    </row>
    <row r="13" spans="1:14" ht="14.4" x14ac:dyDescent="0.25">
      <c r="A13" s="18" t="s">
        <v>6</v>
      </c>
      <c r="B13" s="23" t="s">
        <v>13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9" t="s">
        <v>7</v>
      </c>
    </row>
    <row r="14" spans="1:14" x14ac:dyDescent="0.25">
      <c r="A14" s="10" t="s">
        <v>2</v>
      </c>
      <c r="B14" s="13">
        <f>B6*B10</f>
        <v>5000</v>
      </c>
      <c r="C14" s="13">
        <f t="shared" ref="C14:N16" si="0">C6*C10</f>
        <v>6000</v>
      </c>
      <c r="D14" s="13">
        <f t="shared" si="0"/>
        <v>6800</v>
      </c>
      <c r="E14" s="13">
        <f t="shared" si="0"/>
        <v>7600</v>
      </c>
      <c r="F14" s="13">
        <f t="shared" si="0"/>
        <v>8000</v>
      </c>
      <c r="G14" s="13">
        <f t="shared" si="0"/>
        <v>8400</v>
      </c>
      <c r="H14" s="13">
        <f t="shared" si="0"/>
        <v>10000</v>
      </c>
      <c r="I14" s="13">
        <f t="shared" si="0"/>
        <v>11000</v>
      </c>
      <c r="J14" s="13">
        <f t="shared" si="0"/>
        <v>13000</v>
      </c>
      <c r="K14" s="13">
        <f t="shared" si="0"/>
        <v>14000</v>
      </c>
      <c r="L14" s="13">
        <f t="shared" si="0"/>
        <v>16000</v>
      </c>
      <c r="M14" s="13">
        <f t="shared" si="0"/>
        <v>20000</v>
      </c>
      <c r="N14" s="13">
        <f t="shared" si="0"/>
        <v>125800</v>
      </c>
    </row>
    <row r="15" spans="1:14" x14ac:dyDescent="0.25">
      <c r="A15" s="10" t="s">
        <v>3</v>
      </c>
      <c r="B15" s="13">
        <f>B7*B11</f>
        <v>0</v>
      </c>
      <c r="C15" s="13">
        <f t="shared" si="0"/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</row>
    <row r="16" spans="1:14" x14ac:dyDescent="0.25">
      <c r="A16" s="10" t="s">
        <v>4</v>
      </c>
      <c r="B16" s="13">
        <f>B8*B12</f>
        <v>0</v>
      </c>
      <c r="C16" s="13">
        <f t="shared" si="0"/>
        <v>0</v>
      </c>
      <c r="D16" s="13">
        <f t="shared" si="0"/>
        <v>0</v>
      </c>
      <c r="E16" s="13">
        <f t="shared" si="0"/>
        <v>0</v>
      </c>
      <c r="F16" s="13">
        <f t="shared" si="0"/>
        <v>0</v>
      </c>
      <c r="G16" s="13">
        <f t="shared" si="0"/>
        <v>0</v>
      </c>
      <c r="H16" s="13">
        <f t="shared" si="0"/>
        <v>0</v>
      </c>
      <c r="I16" s="13">
        <f t="shared" si="0"/>
        <v>0</v>
      </c>
      <c r="J16" s="13">
        <f t="shared" si="0"/>
        <v>0</v>
      </c>
      <c r="K16" s="13">
        <f t="shared" si="0"/>
        <v>0</v>
      </c>
      <c r="L16" s="13">
        <f t="shared" si="0"/>
        <v>0</v>
      </c>
      <c r="M16" s="13">
        <f t="shared" si="0"/>
        <v>0</v>
      </c>
      <c r="N16" s="13">
        <f t="shared" si="0"/>
        <v>0</v>
      </c>
    </row>
    <row r="17" spans="1:14" x14ac:dyDescent="0.25">
      <c r="A17" s="27" t="s">
        <v>7</v>
      </c>
      <c r="B17" s="28">
        <f>SUM(B14:B16)</f>
        <v>5000</v>
      </c>
      <c r="C17" s="28">
        <f t="shared" ref="C17:M17" si="1">SUM(C14:C16)</f>
        <v>6000</v>
      </c>
      <c r="D17" s="28">
        <f t="shared" si="1"/>
        <v>6800</v>
      </c>
      <c r="E17" s="28">
        <f t="shared" si="1"/>
        <v>7600</v>
      </c>
      <c r="F17" s="28">
        <f t="shared" si="1"/>
        <v>8000</v>
      </c>
      <c r="G17" s="28">
        <f t="shared" si="1"/>
        <v>8400</v>
      </c>
      <c r="H17" s="28">
        <f t="shared" si="1"/>
        <v>10000</v>
      </c>
      <c r="I17" s="28">
        <f t="shared" si="1"/>
        <v>11000</v>
      </c>
      <c r="J17" s="28">
        <f t="shared" si="1"/>
        <v>13000</v>
      </c>
      <c r="K17" s="28">
        <f t="shared" si="1"/>
        <v>14000</v>
      </c>
      <c r="L17" s="28">
        <f t="shared" si="1"/>
        <v>16000</v>
      </c>
      <c r="M17" s="28">
        <f t="shared" si="1"/>
        <v>20000</v>
      </c>
      <c r="N17" s="28">
        <f>SUM(N14:N16)</f>
        <v>125800</v>
      </c>
    </row>
    <row r="18" spans="1:14" x14ac:dyDescent="0.25">
      <c r="A18" s="18" t="s">
        <v>65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8" t="s">
        <v>12</v>
      </c>
    </row>
    <row r="19" spans="1:14" x14ac:dyDescent="0.25">
      <c r="A19" s="10" t="s">
        <v>2</v>
      </c>
      <c r="B19" s="12">
        <v>15</v>
      </c>
      <c r="C19" s="12">
        <v>15</v>
      </c>
      <c r="D19" s="12">
        <v>15</v>
      </c>
      <c r="E19" s="12">
        <v>15</v>
      </c>
      <c r="F19" s="12">
        <v>15</v>
      </c>
      <c r="G19" s="12">
        <v>15</v>
      </c>
      <c r="H19" s="12">
        <v>15</v>
      </c>
      <c r="I19" s="12">
        <v>15</v>
      </c>
      <c r="J19" s="12">
        <v>15</v>
      </c>
      <c r="K19" s="12">
        <v>15</v>
      </c>
      <c r="L19" s="12">
        <v>15</v>
      </c>
      <c r="M19" s="12">
        <v>15</v>
      </c>
      <c r="N19" s="25">
        <f>AVERAGE(B19:M19)</f>
        <v>15</v>
      </c>
    </row>
    <row r="20" spans="1:14" x14ac:dyDescent="0.25">
      <c r="A20" s="10" t="s">
        <v>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25"/>
    </row>
    <row r="21" spans="1:14" x14ac:dyDescent="0.25">
      <c r="A21" s="10" t="s">
        <v>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5"/>
    </row>
    <row r="22" spans="1:14" ht="14.4" x14ac:dyDescent="0.25">
      <c r="A22" s="18" t="s">
        <v>63</v>
      </c>
      <c r="B22" s="23" t="s">
        <v>66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8" t="s">
        <v>64</v>
      </c>
    </row>
    <row r="23" spans="1:14" x14ac:dyDescent="0.25">
      <c r="A23" s="10" t="s">
        <v>2</v>
      </c>
      <c r="B23" s="12">
        <f>B19*B6</f>
        <v>3750</v>
      </c>
      <c r="C23" s="12">
        <f t="shared" ref="C23:M23" si="2">C19*C6</f>
        <v>4500</v>
      </c>
      <c r="D23" s="12">
        <f t="shared" si="2"/>
        <v>5100</v>
      </c>
      <c r="E23" s="12">
        <f t="shared" si="2"/>
        <v>5700</v>
      </c>
      <c r="F23" s="12">
        <f t="shared" si="2"/>
        <v>6000</v>
      </c>
      <c r="G23" s="12">
        <f t="shared" si="2"/>
        <v>6300</v>
      </c>
      <c r="H23" s="12">
        <f t="shared" si="2"/>
        <v>7500</v>
      </c>
      <c r="I23" s="12">
        <f t="shared" si="2"/>
        <v>8250</v>
      </c>
      <c r="J23" s="12">
        <f t="shared" si="2"/>
        <v>9750</v>
      </c>
      <c r="K23" s="12">
        <f t="shared" si="2"/>
        <v>10500</v>
      </c>
      <c r="L23" s="12">
        <f t="shared" si="2"/>
        <v>12000</v>
      </c>
      <c r="M23" s="12">
        <f t="shared" si="2"/>
        <v>15000</v>
      </c>
      <c r="N23" s="12">
        <f>N19*N6</f>
        <v>94350</v>
      </c>
    </row>
    <row r="24" spans="1:14" x14ac:dyDescent="0.25">
      <c r="A24" s="10" t="s">
        <v>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10" t="s">
        <v>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5">
      <c r="A26" s="27" t="s">
        <v>64</v>
      </c>
      <c r="B26" s="28">
        <f>SUM(B23:B25)</f>
        <v>3750</v>
      </c>
      <c r="C26" s="28">
        <f t="shared" ref="C26:M26" si="3">SUM(C23:C25)</f>
        <v>4500</v>
      </c>
      <c r="D26" s="28">
        <f t="shared" si="3"/>
        <v>5100</v>
      </c>
      <c r="E26" s="28">
        <f t="shared" si="3"/>
        <v>5700</v>
      </c>
      <c r="F26" s="28">
        <f t="shared" si="3"/>
        <v>6000</v>
      </c>
      <c r="G26" s="28">
        <f t="shared" si="3"/>
        <v>6300</v>
      </c>
      <c r="H26" s="28">
        <f t="shared" si="3"/>
        <v>7500</v>
      </c>
      <c r="I26" s="28">
        <f t="shared" si="3"/>
        <v>8250</v>
      </c>
      <c r="J26" s="28">
        <f t="shared" si="3"/>
        <v>9750</v>
      </c>
      <c r="K26" s="28">
        <f t="shared" si="3"/>
        <v>10500</v>
      </c>
      <c r="L26" s="28">
        <f t="shared" si="3"/>
        <v>12000</v>
      </c>
      <c r="M26" s="28">
        <f t="shared" si="3"/>
        <v>15000</v>
      </c>
      <c r="N26" s="28">
        <f>SUM(N23:N25)</f>
        <v>94350</v>
      </c>
    </row>
    <row r="27" spans="1:14" ht="14.4" x14ac:dyDescent="0.25">
      <c r="A27" s="18" t="s">
        <v>14</v>
      </c>
      <c r="B27" s="22" t="s">
        <v>16</v>
      </c>
      <c r="C27" s="24"/>
      <c r="D27" s="24"/>
      <c r="E27" s="18"/>
      <c r="F27" s="18"/>
      <c r="G27" s="18"/>
      <c r="H27" s="18"/>
      <c r="I27" s="18"/>
      <c r="J27" s="18"/>
      <c r="K27" s="18"/>
      <c r="L27" s="18"/>
      <c r="M27" s="18"/>
      <c r="N27" s="8" t="s">
        <v>12</v>
      </c>
    </row>
    <row r="28" spans="1:14" x14ac:dyDescent="0.25">
      <c r="A28" s="10" t="s">
        <v>2</v>
      </c>
      <c r="B28" s="12">
        <f t="shared" ref="B28:N28" si="4">B10-B19</f>
        <v>5</v>
      </c>
      <c r="C28" s="12">
        <f t="shared" si="4"/>
        <v>5</v>
      </c>
      <c r="D28" s="12">
        <f t="shared" si="4"/>
        <v>5</v>
      </c>
      <c r="E28" s="12">
        <f t="shared" si="4"/>
        <v>5</v>
      </c>
      <c r="F28" s="12">
        <f t="shared" si="4"/>
        <v>5</v>
      </c>
      <c r="G28" s="12">
        <f t="shared" si="4"/>
        <v>5</v>
      </c>
      <c r="H28" s="12">
        <f t="shared" si="4"/>
        <v>5</v>
      </c>
      <c r="I28" s="12">
        <f t="shared" si="4"/>
        <v>5</v>
      </c>
      <c r="J28" s="12">
        <f t="shared" si="4"/>
        <v>5</v>
      </c>
      <c r="K28" s="12">
        <f t="shared" si="4"/>
        <v>5</v>
      </c>
      <c r="L28" s="12">
        <f t="shared" si="4"/>
        <v>5</v>
      </c>
      <c r="M28" s="12">
        <f t="shared" si="4"/>
        <v>5</v>
      </c>
      <c r="N28" s="12">
        <f t="shared" si="4"/>
        <v>5</v>
      </c>
    </row>
    <row r="29" spans="1:14" x14ac:dyDescent="0.25">
      <c r="A29" s="10" t="s">
        <v>3</v>
      </c>
      <c r="B29" s="12">
        <f t="shared" ref="B29:M29" si="5">B11-B20</f>
        <v>0</v>
      </c>
      <c r="C29" s="12">
        <f t="shared" si="5"/>
        <v>0</v>
      </c>
      <c r="D29" s="12">
        <f t="shared" si="5"/>
        <v>0</v>
      </c>
      <c r="E29" s="12">
        <f t="shared" si="5"/>
        <v>0</v>
      </c>
      <c r="F29" s="12">
        <f t="shared" si="5"/>
        <v>0</v>
      </c>
      <c r="G29" s="12">
        <f t="shared" si="5"/>
        <v>0</v>
      </c>
      <c r="H29" s="12">
        <f t="shared" si="5"/>
        <v>0</v>
      </c>
      <c r="I29" s="12">
        <f t="shared" si="5"/>
        <v>0</v>
      </c>
      <c r="J29" s="12">
        <f t="shared" si="5"/>
        <v>0</v>
      </c>
      <c r="K29" s="12">
        <f t="shared" si="5"/>
        <v>0</v>
      </c>
      <c r="L29" s="12">
        <f t="shared" si="5"/>
        <v>0</v>
      </c>
      <c r="M29" s="12">
        <f t="shared" si="5"/>
        <v>0</v>
      </c>
      <c r="N29" s="12"/>
    </row>
    <row r="30" spans="1:14" x14ac:dyDescent="0.25">
      <c r="A30" s="10" t="s">
        <v>4</v>
      </c>
      <c r="B30" s="12">
        <f t="shared" ref="B30:M30" si="6">B12-B21</f>
        <v>0</v>
      </c>
      <c r="C30" s="12">
        <f t="shared" si="6"/>
        <v>0</v>
      </c>
      <c r="D30" s="12">
        <f t="shared" si="6"/>
        <v>0</v>
      </c>
      <c r="E30" s="12">
        <f t="shared" si="6"/>
        <v>0</v>
      </c>
      <c r="F30" s="12">
        <f t="shared" si="6"/>
        <v>0</v>
      </c>
      <c r="G30" s="12">
        <f t="shared" si="6"/>
        <v>0</v>
      </c>
      <c r="H30" s="12">
        <f t="shared" si="6"/>
        <v>0</v>
      </c>
      <c r="I30" s="12">
        <f t="shared" si="6"/>
        <v>0</v>
      </c>
      <c r="J30" s="12">
        <f t="shared" si="6"/>
        <v>0</v>
      </c>
      <c r="K30" s="12">
        <f t="shared" si="6"/>
        <v>0</v>
      </c>
      <c r="L30" s="12">
        <f t="shared" si="6"/>
        <v>0</v>
      </c>
      <c r="M30" s="12">
        <f t="shared" si="6"/>
        <v>0</v>
      </c>
      <c r="N30" s="12"/>
    </row>
    <row r="31" spans="1:14" ht="14.4" x14ac:dyDescent="0.25">
      <c r="A31" s="18" t="s">
        <v>0</v>
      </c>
      <c r="B31" s="22" t="s">
        <v>15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8" t="s">
        <v>8</v>
      </c>
    </row>
    <row r="32" spans="1:14" x14ac:dyDescent="0.25">
      <c r="A32" s="11" t="s">
        <v>2</v>
      </c>
      <c r="B32" s="12">
        <f t="shared" ref="B32:N32" si="7">B28*B6</f>
        <v>1250</v>
      </c>
      <c r="C32" s="12">
        <f t="shared" si="7"/>
        <v>1500</v>
      </c>
      <c r="D32" s="12">
        <f t="shared" si="7"/>
        <v>1700</v>
      </c>
      <c r="E32" s="12">
        <f t="shared" si="7"/>
        <v>1900</v>
      </c>
      <c r="F32" s="12">
        <f t="shared" si="7"/>
        <v>2000</v>
      </c>
      <c r="G32" s="12">
        <f t="shared" si="7"/>
        <v>2100</v>
      </c>
      <c r="H32" s="12">
        <f t="shared" si="7"/>
        <v>2500</v>
      </c>
      <c r="I32" s="12">
        <f t="shared" si="7"/>
        <v>2750</v>
      </c>
      <c r="J32" s="12">
        <f t="shared" si="7"/>
        <v>3250</v>
      </c>
      <c r="K32" s="12">
        <f t="shared" si="7"/>
        <v>3500</v>
      </c>
      <c r="L32" s="12">
        <f t="shared" si="7"/>
        <v>4000</v>
      </c>
      <c r="M32" s="12">
        <f t="shared" si="7"/>
        <v>5000</v>
      </c>
      <c r="N32" s="12">
        <f t="shared" si="7"/>
        <v>31450</v>
      </c>
    </row>
    <row r="33" spans="1:14" x14ac:dyDescent="0.25">
      <c r="A33" s="11" t="s">
        <v>3</v>
      </c>
      <c r="B33" s="12">
        <f t="shared" ref="B33:M33" si="8">B29*B7</f>
        <v>0</v>
      </c>
      <c r="C33" s="12">
        <f t="shared" si="8"/>
        <v>0</v>
      </c>
      <c r="D33" s="12">
        <f t="shared" si="8"/>
        <v>0</v>
      </c>
      <c r="E33" s="12">
        <f t="shared" si="8"/>
        <v>0</v>
      </c>
      <c r="F33" s="12">
        <f t="shared" si="8"/>
        <v>0</v>
      </c>
      <c r="G33" s="12">
        <f t="shared" si="8"/>
        <v>0</v>
      </c>
      <c r="H33" s="12">
        <f t="shared" si="8"/>
        <v>0</v>
      </c>
      <c r="I33" s="12">
        <f t="shared" si="8"/>
        <v>0</v>
      </c>
      <c r="J33" s="12">
        <f t="shared" si="8"/>
        <v>0</v>
      </c>
      <c r="K33" s="12">
        <f t="shared" si="8"/>
        <v>0</v>
      </c>
      <c r="L33" s="12">
        <f t="shared" si="8"/>
        <v>0</v>
      </c>
      <c r="M33" s="12">
        <f t="shared" si="8"/>
        <v>0</v>
      </c>
      <c r="N33" s="12"/>
    </row>
    <row r="34" spans="1:14" x14ac:dyDescent="0.25">
      <c r="A34" s="11" t="s">
        <v>4</v>
      </c>
      <c r="B34" s="12">
        <f t="shared" ref="B34:M34" si="9">B30*B8</f>
        <v>0</v>
      </c>
      <c r="C34" s="12">
        <f t="shared" si="9"/>
        <v>0</v>
      </c>
      <c r="D34" s="12">
        <f t="shared" si="9"/>
        <v>0</v>
      </c>
      <c r="E34" s="12">
        <f t="shared" si="9"/>
        <v>0</v>
      </c>
      <c r="F34" s="12">
        <f t="shared" si="9"/>
        <v>0</v>
      </c>
      <c r="G34" s="12">
        <f t="shared" si="9"/>
        <v>0</v>
      </c>
      <c r="H34" s="12">
        <f t="shared" si="9"/>
        <v>0</v>
      </c>
      <c r="I34" s="12">
        <f t="shared" si="9"/>
        <v>0</v>
      </c>
      <c r="J34" s="12">
        <f t="shared" si="9"/>
        <v>0</v>
      </c>
      <c r="K34" s="12">
        <f t="shared" si="9"/>
        <v>0</v>
      </c>
      <c r="L34" s="12">
        <f t="shared" si="9"/>
        <v>0</v>
      </c>
      <c r="M34" s="12">
        <f t="shared" si="9"/>
        <v>0</v>
      </c>
      <c r="N34" s="12"/>
    </row>
    <row r="35" spans="1:14" x14ac:dyDescent="0.25">
      <c r="A35" s="27" t="s">
        <v>8</v>
      </c>
      <c r="B35" s="29">
        <f>SUM(B32:B34)</f>
        <v>1250</v>
      </c>
      <c r="C35" s="29">
        <f t="shared" ref="C35:N35" si="10">SUM(C32:C34)</f>
        <v>1500</v>
      </c>
      <c r="D35" s="29">
        <f t="shared" si="10"/>
        <v>1700</v>
      </c>
      <c r="E35" s="29">
        <f t="shared" si="10"/>
        <v>1900</v>
      </c>
      <c r="F35" s="29">
        <f t="shared" si="10"/>
        <v>2000</v>
      </c>
      <c r="G35" s="29">
        <f t="shared" si="10"/>
        <v>2100</v>
      </c>
      <c r="H35" s="29">
        <f t="shared" si="10"/>
        <v>2500</v>
      </c>
      <c r="I35" s="29">
        <f t="shared" si="10"/>
        <v>2750</v>
      </c>
      <c r="J35" s="29">
        <f t="shared" si="10"/>
        <v>3250</v>
      </c>
      <c r="K35" s="29">
        <f t="shared" si="10"/>
        <v>3500</v>
      </c>
      <c r="L35" s="29">
        <f t="shared" si="10"/>
        <v>4000</v>
      </c>
      <c r="M35" s="29">
        <f t="shared" si="10"/>
        <v>5000</v>
      </c>
      <c r="N35" s="29">
        <f t="shared" si="10"/>
        <v>31450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196C-205C-B745-B083-96C72277C662}">
  <dimension ref="A1:N17"/>
  <sheetViews>
    <sheetView topLeftCell="A3" zoomScale="91" zoomScaleNormal="130" workbookViewId="0">
      <selection activeCell="E31" sqref="D31:E31"/>
    </sheetView>
  </sheetViews>
  <sheetFormatPr defaultColWidth="9" defaultRowHeight="13.8" x14ac:dyDescent="0.25"/>
  <cols>
    <col min="1" max="1" width="35.33203125" style="1" customWidth="1"/>
    <col min="2" max="4" width="13.109375" style="1" customWidth="1"/>
    <col min="5" max="13" width="13" style="1" customWidth="1"/>
    <col min="14" max="14" width="18.109375" style="1" customWidth="1"/>
    <col min="15" max="16384" width="9" style="1"/>
  </cols>
  <sheetData>
    <row r="1" spans="1:14" ht="27.75" customHeight="1" x14ac:dyDescent="0.25">
      <c r="A1" s="103" t="s">
        <v>70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ht="25.2" customHeight="1" x14ac:dyDescent="0.25">
      <c r="A2" s="4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ht="19.5" customHeight="1" x14ac:dyDescent="0.25">
      <c r="B3" s="30" t="s">
        <v>25</v>
      </c>
      <c r="C3" s="30" t="s">
        <v>26</v>
      </c>
      <c r="D3" s="30" t="s">
        <v>27</v>
      </c>
      <c r="E3" s="30" t="s">
        <v>28</v>
      </c>
      <c r="F3" s="30" t="s">
        <v>29</v>
      </c>
      <c r="G3" s="30" t="s">
        <v>30</v>
      </c>
      <c r="H3" s="30" t="s">
        <v>32</v>
      </c>
      <c r="I3" s="30" t="s">
        <v>31</v>
      </c>
      <c r="J3" s="30" t="s">
        <v>33</v>
      </c>
      <c r="K3" s="30" t="s">
        <v>34</v>
      </c>
      <c r="L3" s="30" t="s">
        <v>35</v>
      </c>
      <c r="M3" s="30" t="s">
        <v>36</v>
      </c>
      <c r="N3" s="33" t="s">
        <v>9</v>
      </c>
    </row>
    <row r="4" spans="1:14" s="3" customFormat="1" ht="26.25" customHeight="1" x14ac:dyDescent="0.3">
      <c r="A4" s="31" t="s">
        <v>17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32"/>
    </row>
    <row r="5" spans="1:14" s="3" customFormat="1" ht="14.7" customHeight="1" x14ac:dyDescent="0.3">
      <c r="A5" s="34" t="s">
        <v>68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1:14" x14ac:dyDescent="0.25">
      <c r="A6" s="10" t="s">
        <v>85</v>
      </c>
      <c r="B6" s="13">
        <v>2000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40">
        <f>SUM(B6:M6)</f>
        <v>2000</v>
      </c>
    </row>
    <row r="7" spans="1:14" x14ac:dyDescent="0.25">
      <c r="A7" s="10" t="s">
        <v>88</v>
      </c>
      <c r="B7" s="13">
        <v>500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40">
        <f t="shared" ref="N7:N10" si="0">SUM(B7:M7)</f>
        <v>500</v>
      </c>
    </row>
    <row r="8" spans="1:14" x14ac:dyDescent="0.25">
      <c r="A8" s="10" t="s">
        <v>87</v>
      </c>
      <c r="B8" s="13">
        <v>1300</v>
      </c>
      <c r="C8" s="13">
        <v>1300</v>
      </c>
      <c r="D8" s="13">
        <v>1300</v>
      </c>
      <c r="E8" s="13">
        <v>1300</v>
      </c>
      <c r="F8" s="13">
        <v>1300</v>
      </c>
      <c r="G8" s="13">
        <v>1300</v>
      </c>
      <c r="H8" s="13">
        <v>1300</v>
      </c>
      <c r="I8" s="13">
        <v>1300</v>
      </c>
      <c r="J8" s="13">
        <v>1300</v>
      </c>
      <c r="K8" s="13">
        <v>1300</v>
      </c>
      <c r="L8" s="13">
        <v>1300</v>
      </c>
      <c r="M8" s="13">
        <v>1300</v>
      </c>
      <c r="N8" s="40">
        <f t="shared" si="0"/>
        <v>15600</v>
      </c>
    </row>
    <row r="9" spans="1:14" x14ac:dyDescent="0.25">
      <c r="A9" s="10" t="s">
        <v>86</v>
      </c>
      <c r="B9" s="13">
        <v>100</v>
      </c>
      <c r="C9" s="13">
        <v>100</v>
      </c>
      <c r="D9" s="13">
        <v>100</v>
      </c>
      <c r="E9" s="13">
        <v>100</v>
      </c>
      <c r="F9" s="13">
        <v>100</v>
      </c>
      <c r="G9" s="13">
        <v>100</v>
      </c>
      <c r="H9" s="13">
        <v>100</v>
      </c>
      <c r="I9" s="13">
        <v>100</v>
      </c>
      <c r="J9" s="13">
        <v>100</v>
      </c>
      <c r="K9" s="13">
        <v>100</v>
      </c>
      <c r="L9" s="13">
        <v>100</v>
      </c>
      <c r="M9" s="13">
        <v>100</v>
      </c>
      <c r="N9" s="40">
        <f t="shared" si="0"/>
        <v>1200</v>
      </c>
    </row>
    <row r="10" spans="1:14" x14ac:dyDescent="0.25">
      <c r="A10" s="10" t="s">
        <v>55</v>
      </c>
      <c r="B10" s="13">
        <v>200</v>
      </c>
      <c r="C10" s="13">
        <v>200</v>
      </c>
      <c r="D10" s="13">
        <v>200</v>
      </c>
      <c r="E10" s="13">
        <v>200</v>
      </c>
      <c r="F10" s="13">
        <v>200</v>
      </c>
      <c r="G10" s="13">
        <v>200</v>
      </c>
      <c r="H10" s="13">
        <v>200</v>
      </c>
      <c r="I10" s="13">
        <v>200</v>
      </c>
      <c r="J10" s="13">
        <v>200</v>
      </c>
      <c r="K10" s="13">
        <v>200</v>
      </c>
      <c r="L10" s="13">
        <v>200</v>
      </c>
      <c r="M10" s="13">
        <v>200</v>
      </c>
      <c r="N10" s="40">
        <f t="shared" si="0"/>
        <v>2400</v>
      </c>
    </row>
    <row r="11" spans="1:14" s="3" customFormat="1" ht="14.7" customHeight="1" x14ac:dyDescent="0.3">
      <c r="A11" s="34" t="s">
        <v>69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6"/>
    </row>
    <row r="12" spans="1:14" x14ac:dyDescent="0.25">
      <c r="A12" s="10" t="s">
        <v>53</v>
      </c>
      <c r="B12" s="12">
        <v>50</v>
      </c>
      <c r="C12" s="12">
        <v>50</v>
      </c>
      <c r="D12" s="12">
        <v>50</v>
      </c>
      <c r="E12" s="12">
        <v>0</v>
      </c>
      <c r="F12" s="12">
        <v>0</v>
      </c>
      <c r="G12" s="12">
        <v>0</v>
      </c>
      <c r="H12" s="12">
        <v>0</v>
      </c>
      <c r="I12" s="12">
        <v>50</v>
      </c>
      <c r="J12" s="12">
        <v>50</v>
      </c>
      <c r="K12" s="12">
        <v>0</v>
      </c>
      <c r="L12" s="12">
        <v>0</v>
      </c>
      <c r="M12" s="12">
        <v>0</v>
      </c>
      <c r="N12" s="41">
        <f>SUM(B12:M12)</f>
        <v>250</v>
      </c>
    </row>
    <row r="13" spans="1:14" x14ac:dyDescent="0.25">
      <c r="A13" s="10" t="s">
        <v>47</v>
      </c>
      <c r="B13" s="12">
        <v>50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41">
        <f t="shared" ref="N13:N15" si="1">SUM(B13:M13)</f>
        <v>50</v>
      </c>
    </row>
    <row r="14" spans="1:14" x14ac:dyDescent="0.25">
      <c r="A14" s="10" t="s">
        <v>54</v>
      </c>
      <c r="B14" s="12">
        <v>100</v>
      </c>
      <c r="C14" s="12">
        <v>100</v>
      </c>
      <c r="D14" s="12">
        <v>100</v>
      </c>
      <c r="E14" s="12">
        <v>100</v>
      </c>
      <c r="F14" s="12">
        <v>100</v>
      </c>
      <c r="G14" s="12">
        <v>100</v>
      </c>
      <c r="H14" s="12">
        <v>100</v>
      </c>
      <c r="I14" s="12">
        <v>100</v>
      </c>
      <c r="J14" s="12">
        <v>100</v>
      </c>
      <c r="K14" s="12">
        <v>100</v>
      </c>
      <c r="L14" s="12">
        <v>100</v>
      </c>
      <c r="M14" s="12">
        <v>100</v>
      </c>
      <c r="N14" s="41">
        <f t="shared" si="1"/>
        <v>1200</v>
      </c>
    </row>
    <row r="15" spans="1:14" x14ac:dyDescent="0.25">
      <c r="A15" s="10" t="s">
        <v>52</v>
      </c>
      <c r="B15" s="12">
        <v>100</v>
      </c>
      <c r="C15" s="12">
        <v>100</v>
      </c>
      <c r="D15" s="12">
        <v>100</v>
      </c>
      <c r="E15" s="12">
        <v>100</v>
      </c>
      <c r="F15" s="12">
        <v>100</v>
      </c>
      <c r="G15" s="12">
        <v>100</v>
      </c>
      <c r="H15" s="12">
        <v>100</v>
      </c>
      <c r="I15" s="12">
        <v>100</v>
      </c>
      <c r="J15" s="12">
        <v>100</v>
      </c>
      <c r="K15" s="12">
        <v>100</v>
      </c>
      <c r="L15" s="12">
        <v>100</v>
      </c>
      <c r="M15" s="12">
        <v>100</v>
      </c>
      <c r="N15" s="41">
        <f t="shared" si="1"/>
        <v>1200</v>
      </c>
    </row>
    <row r="16" spans="1:14" x14ac:dyDescent="0.25">
      <c r="A16" s="38" t="s">
        <v>19</v>
      </c>
      <c r="B16" s="39">
        <f t="shared" ref="B16:N16" si="2">SUM(B5:B15)</f>
        <v>4400</v>
      </c>
      <c r="C16" s="39">
        <f t="shared" si="2"/>
        <v>1850</v>
      </c>
      <c r="D16" s="39">
        <f t="shared" si="2"/>
        <v>1850</v>
      </c>
      <c r="E16" s="39">
        <f t="shared" si="2"/>
        <v>1800</v>
      </c>
      <c r="F16" s="39">
        <f t="shared" si="2"/>
        <v>1800</v>
      </c>
      <c r="G16" s="39">
        <f t="shared" si="2"/>
        <v>1800</v>
      </c>
      <c r="H16" s="39">
        <f t="shared" si="2"/>
        <v>1800</v>
      </c>
      <c r="I16" s="39">
        <f t="shared" si="2"/>
        <v>1850</v>
      </c>
      <c r="J16" s="39">
        <f t="shared" si="2"/>
        <v>1850</v>
      </c>
      <c r="K16" s="39">
        <f t="shared" si="2"/>
        <v>1800</v>
      </c>
      <c r="L16" s="39">
        <f t="shared" si="2"/>
        <v>1800</v>
      </c>
      <c r="M16" s="39">
        <f t="shared" si="2"/>
        <v>1800</v>
      </c>
      <c r="N16" s="39">
        <f t="shared" si="2"/>
        <v>24400</v>
      </c>
    </row>
    <row r="17" spans="1:14" x14ac:dyDescent="0.25">
      <c r="A17" s="11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37"/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4F21-5FB1-424F-9FEA-FE54E8BE5314}">
  <dimension ref="A1:F22"/>
  <sheetViews>
    <sheetView tabSelected="1" topLeftCell="A3" zoomScale="109" zoomScaleNormal="83" workbookViewId="0">
      <selection activeCell="I22" sqref="I21:I22"/>
    </sheetView>
  </sheetViews>
  <sheetFormatPr defaultColWidth="11.5546875" defaultRowHeight="14.4" x14ac:dyDescent="0.3"/>
  <cols>
    <col min="1" max="1" width="31.44140625" bestFit="1" customWidth="1"/>
    <col min="2" max="2" width="15.77734375" bestFit="1" customWidth="1"/>
    <col min="3" max="6" width="12.5546875" bestFit="1" customWidth="1"/>
  </cols>
  <sheetData>
    <row r="1" spans="1:6" s="59" customFormat="1" ht="19.95" customHeight="1" x14ac:dyDescent="0.3">
      <c r="A1" s="102" t="s">
        <v>84</v>
      </c>
      <c r="B1" s="102"/>
      <c r="C1" s="102"/>
      <c r="D1" s="102"/>
      <c r="E1" s="102"/>
      <c r="F1" s="102"/>
    </row>
    <row r="2" spans="1:6" s="59" customFormat="1" ht="19.95" customHeight="1" x14ac:dyDescent="0.3">
      <c r="A2" s="60" t="s">
        <v>82</v>
      </c>
      <c r="B2" s="60"/>
      <c r="C2" s="60"/>
      <c r="D2" s="60"/>
      <c r="E2" s="60"/>
      <c r="F2" s="60"/>
    </row>
    <row r="4" spans="1:6" ht="15.6" x14ac:dyDescent="0.3">
      <c r="A4" s="51"/>
      <c r="B4" s="52">
        <v>2023</v>
      </c>
      <c r="C4" s="52">
        <v>2024</v>
      </c>
      <c r="D4" s="52">
        <v>2025</v>
      </c>
      <c r="E4" s="52">
        <v>2026</v>
      </c>
      <c r="F4" s="52">
        <v>2027</v>
      </c>
    </row>
    <row r="5" spans="1:6" ht="15.6" x14ac:dyDescent="0.3">
      <c r="A5" s="53" t="s">
        <v>80</v>
      </c>
      <c r="B5" s="54">
        <f>'Sale Forecasting (12 months)'!N17</f>
        <v>125800</v>
      </c>
      <c r="C5" s="54"/>
      <c r="D5" s="54"/>
      <c r="E5" s="54"/>
      <c r="F5" s="54"/>
    </row>
    <row r="6" spans="1:6" ht="15.6" x14ac:dyDescent="0.3">
      <c r="A6" s="55" t="s">
        <v>81</v>
      </c>
      <c r="B6" s="54">
        <f>'Sale Forecasting (12 months)'!N26</f>
        <v>94350</v>
      </c>
      <c r="C6" s="54"/>
      <c r="D6" s="54"/>
      <c r="E6" s="54"/>
      <c r="F6" s="54"/>
    </row>
    <row r="7" spans="1:6" ht="15.6" x14ac:dyDescent="0.3">
      <c r="A7" s="53" t="s">
        <v>79</v>
      </c>
      <c r="B7" s="54">
        <f>B5-B6</f>
        <v>31450</v>
      </c>
      <c r="C7" s="54"/>
      <c r="D7" s="54"/>
      <c r="E7" s="54"/>
      <c r="F7" s="54"/>
    </row>
    <row r="8" spans="1:6" x14ac:dyDescent="0.3">
      <c r="A8" s="56" t="s">
        <v>49</v>
      </c>
      <c r="B8" s="57">
        <f>'Operating Expenses (12 monts)'!N6</f>
        <v>2000</v>
      </c>
      <c r="C8" s="57"/>
      <c r="D8" s="57"/>
      <c r="E8" s="57"/>
      <c r="F8" s="57"/>
    </row>
    <row r="9" spans="1:6" x14ac:dyDescent="0.3">
      <c r="A9" s="58" t="s">
        <v>50</v>
      </c>
      <c r="B9" s="57">
        <f>'Operating Expenses (12 monts)'!N7</f>
        <v>500</v>
      </c>
      <c r="C9" s="57"/>
      <c r="D9" s="57"/>
      <c r="E9" s="57"/>
      <c r="F9" s="57"/>
    </row>
    <row r="10" spans="1:6" x14ac:dyDescent="0.3">
      <c r="A10" s="56" t="s">
        <v>51</v>
      </c>
      <c r="B10" s="57">
        <f>'Operating Expenses (12 monts)'!N8</f>
        <v>15600</v>
      </c>
      <c r="C10" s="57"/>
      <c r="D10" s="57"/>
      <c r="E10" s="57"/>
      <c r="F10" s="57"/>
    </row>
    <row r="11" spans="1:6" x14ac:dyDescent="0.3">
      <c r="A11" s="56" t="s">
        <v>48</v>
      </c>
      <c r="B11" s="57">
        <f>'Operating Expenses (12 monts)'!N9</f>
        <v>1200</v>
      </c>
      <c r="C11" s="57"/>
      <c r="D11" s="57"/>
      <c r="E11" s="57"/>
      <c r="F11" s="57"/>
    </row>
    <row r="12" spans="1:6" x14ac:dyDescent="0.3">
      <c r="A12" s="56" t="s">
        <v>55</v>
      </c>
      <c r="B12" s="57">
        <f>'Operating Expenses (12 monts)'!N10</f>
        <v>2400</v>
      </c>
      <c r="C12" s="57"/>
      <c r="D12" s="57"/>
      <c r="E12" s="57"/>
      <c r="F12" s="57"/>
    </row>
    <row r="13" spans="1:6" x14ac:dyDescent="0.3">
      <c r="A13" s="56" t="s">
        <v>53</v>
      </c>
      <c r="B13" s="57">
        <f>'Operating Expenses (12 monts)'!N12</f>
        <v>250</v>
      </c>
      <c r="C13" s="57"/>
      <c r="D13" s="57"/>
      <c r="E13" s="57"/>
      <c r="F13" s="57"/>
    </row>
    <row r="14" spans="1:6" x14ac:dyDescent="0.3">
      <c r="A14" s="56" t="s">
        <v>47</v>
      </c>
      <c r="B14" s="57">
        <f>'Operating Expenses (12 monts)'!N13</f>
        <v>50</v>
      </c>
      <c r="C14" s="57"/>
      <c r="D14" s="57"/>
      <c r="E14" s="57"/>
      <c r="F14" s="57"/>
    </row>
    <row r="15" spans="1:6" x14ac:dyDescent="0.3">
      <c r="A15" s="56" t="s">
        <v>54</v>
      </c>
      <c r="B15" s="57">
        <f>'Operating Expenses (12 monts)'!N14</f>
        <v>1200</v>
      </c>
      <c r="C15" s="57"/>
      <c r="D15" s="57"/>
      <c r="E15" s="57"/>
      <c r="F15" s="57"/>
    </row>
    <row r="16" spans="1:6" x14ac:dyDescent="0.3">
      <c r="A16" s="56" t="s">
        <v>52</v>
      </c>
      <c r="B16" s="57">
        <f>'Operating Expenses (12 monts)'!N15</f>
        <v>1200</v>
      </c>
      <c r="C16" s="57"/>
      <c r="D16" s="57"/>
      <c r="E16" s="57"/>
      <c r="F16" s="57"/>
    </row>
    <row r="17" spans="1:6" ht="15.6" x14ac:dyDescent="0.3">
      <c r="A17" s="53" t="s">
        <v>57</v>
      </c>
      <c r="B17" s="54">
        <f>SUM(B8:B16)</f>
        <v>24400</v>
      </c>
      <c r="C17" s="54"/>
      <c r="D17" s="54"/>
      <c r="E17" s="54"/>
      <c r="F17" s="54"/>
    </row>
    <row r="18" spans="1:6" ht="15.6" x14ac:dyDescent="0.3">
      <c r="A18" s="53" t="s">
        <v>58</v>
      </c>
      <c r="B18" s="54">
        <f>B7-B17</f>
        <v>7050</v>
      </c>
      <c r="C18" s="54"/>
      <c r="D18" s="54"/>
      <c r="E18" s="54"/>
      <c r="F18" s="54"/>
    </row>
    <row r="19" spans="1:6" ht="15.6" x14ac:dyDescent="0.3">
      <c r="A19" s="53" t="s">
        <v>59</v>
      </c>
      <c r="B19" s="99">
        <v>0</v>
      </c>
      <c r="C19" s="99"/>
      <c r="D19" s="99"/>
      <c r="E19" s="99"/>
      <c r="F19" s="99"/>
    </row>
    <row r="20" spans="1:6" x14ac:dyDescent="0.3">
      <c r="A20" s="56" t="s">
        <v>60</v>
      </c>
      <c r="B20" s="57">
        <f>B5*0.1</f>
        <v>12580</v>
      </c>
      <c r="C20" s="57"/>
      <c r="D20" s="57"/>
      <c r="E20" s="57"/>
      <c r="F20" s="57"/>
    </row>
    <row r="21" spans="1:6" ht="15.6" x14ac:dyDescent="0.3">
      <c r="A21" s="53" t="s">
        <v>61</v>
      </c>
      <c r="B21" s="54">
        <f>SUM(B20)</f>
        <v>12580</v>
      </c>
      <c r="C21" s="54"/>
      <c r="D21" s="54"/>
      <c r="E21" s="54"/>
      <c r="F21" s="54"/>
    </row>
    <row r="22" spans="1:6" ht="15.6" x14ac:dyDescent="0.3">
      <c r="A22" s="101" t="s">
        <v>62</v>
      </c>
      <c r="B22" s="100">
        <f>B18+B19-B21</f>
        <v>-5530</v>
      </c>
      <c r="C22" s="100"/>
      <c r="D22" s="100"/>
      <c r="E22" s="100"/>
      <c r="F22" s="100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5687-5A4C-4E69-A4FD-A15B83723EC9}">
  <dimension ref="A1:N53"/>
  <sheetViews>
    <sheetView zoomScale="56" zoomScaleNormal="109" workbookViewId="0">
      <selection activeCell="A2" sqref="A2"/>
    </sheetView>
  </sheetViews>
  <sheetFormatPr defaultColWidth="9" defaultRowHeight="19.95" customHeight="1" x14ac:dyDescent="0.3"/>
  <cols>
    <col min="1" max="1" width="32.33203125" style="59" customWidth="1"/>
    <col min="2" max="13" width="15.6640625" style="59" customWidth="1"/>
    <col min="14" max="14" width="17.33203125" style="59" bestFit="1" customWidth="1"/>
    <col min="15" max="16384" width="9" style="59"/>
  </cols>
  <sheetData>
    <row r="1" spans="1:14" ht="19.95" customHeight="1" x14ac:dyDescent="0.3">
      <c r="A1" s="102" t="s">
        <v>71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ht="19.95" customHeight="1" x14ac:dyDescent="0.3">
      <c r="A2" s="60" t="s">
        <v>83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4" ht="19.95" customHeight="1" x14ac:dyDescent="0.3">
      <c r="A3" s="60"/>
      <c r="B3" s="61" t="s">
        <v>25</v>
      </c>
      <c r="C3" s="61" t="s">
        <v>26</v>
      </c>
      <c r="D3" s="61" t="s">
        <v>27</v>
      </c>
      <c r="E3" s="61" t="s">
        <v>28</v>
      </c>
      <c r="F3" s="61" t="s">
        <v>29</v>
      </c>
      <c r="G3" s="61" t="s">
        <v>30</v>
      </c>
      <c r="H3" s="61" t="s">
        <v>32</v>
      </c>
      <c r="I3" s="61" t="s">
        <v>31</v>
      </c>
      <c r="J3" s="61" t="s">
        <v>33</v>
      </c>
      <c r="K3" s="61" t="s">
        <v>34</v>
      </c>
      <c r="L3" s="61" t="s">
        <v>35</v>
      </c>
      <c r="M3" s="61" t="s">
        <v>36</v>
      </c>
      <c r="N3" s="62" t="s">
        <v>9</v>
      </c>
    </row>
    <row r="4" spans="1:14" ht="19.95" customHeight="1" x14ac:dyDescent="0.3">
      <c r="A4" s="63" t="s">
        <v>20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5"/>
    </row>
    <row r="5" spans="1:14" s="17" customFormat="1" ht="19.95" customHeight="1" x14ac:dyDescent="0.3">
      <c r="A5" s="15" t="s">
        <v>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5" t="s">
        <v>10</v>
      </c>
    </row>
    <row r="6" spans="1:14" ht="19.95" customHeight="1" x14ac:dyDescent="0.3">
      <c r="A6" s="66" t="s">
        <v>2</v>
      </c>
      <c r="B6" s="67">
        <f>'Sale Forecasting (12 months)'!B6</f>
        <v>250</v>
      </c>
      <c r="C6" s="67">
        <f>'Sale Forecasting (12 months)'!C6</f>
        <v>300</v>
      </c>
      <c r="D6" s="67">
        <f>'Sale Forecasting (12 months)'!D6</f>
        <v>340</v>
      </c>
      <c r="E6" s="67">
        <f>'Sale Forecasting (12 months)'!E6</f>
        <v>380</v>
      </c>
      <c r="F6" s="67">
        <f>'Sale Forecasting (12 months)'!F6</f>
        <v>400</v>
      </c>
      <c r="G6" s="67">
        <f>'Sale Forecasting (12 months)'!G6</f>
        <v>420</v>
      </c>
      <c r="H6" s="67">
        <f>'Sale Forecasting (12 months)'!H6</f>
        <v>500</v>
      </c>
      <c r="I6" s="67">
        <f>'Sale Forecasting (12 months)'!I6</f>
        <v>550</v>
      </c>
      <c r="J6" s="67">
        <f>'Sale Forecasting (12 months)'!J6</f>
        <v>650</v>
      </c>
      <c r="K6" s="67">
        <f>'Sale Forecasting (12 months)'!K6</f>
        <v>700</v>
      </c>
      <c r="L6" s="67">
        <f>'Sale Forecasting (12 months)'!L6</f>
        <v>800</v>
      </c>
      <c r="M6" s="67">
        <f>'Sale Forecasting (12 months)'!M6</f>
        <v>1000</v>
      </c>
      <c r="N6" s="92">
        <f>'Sale Forecasting (12 months)'!N6</f>
        <v>6290</v>
      </c>
    </row>
    <row r="7" spans="1:14" ht="19.95" customHeight="1" x14ac:dyDescent="0.3">
      <c r="A7" s="66" t="s">
        <v>3</v>
      </c>
      <c r="B7" s="67">
        <f>'Sale Forecasting (12 months)'!B7</f>
        <v>0</v>
      </c>
      <c r="C7" s="67">
        <f>'Sale Forecasting (12 months)'!C7</f>
        <v>0</v>
      </c>
      <c r="D7" s="67">
        <f>'Sale Forecasting (12 months)'!D7</f>
        <v>0</v>
      </c>
      <c r="E7" s="67">
        <f>'Sale Forecasting (12 months)'!E7</f>
        <v>0</v>
      </c>
      <c r="F7" s="67">
        <f>'Sale Forecasting (12 months)'!F7</f>
        <v>0</v>
      </c>
      <c r="G7" s="67">
        <f>'Sale Forecasting (12 months)'!G7</f>
        <v>0</v>
      </c>
      <c r="H7" s="67">
        <f>'Sale Forecasting (12 months)'!H7</f>
        <v>0</v>
      </c>
      <c r="I7" s="67">
        <f>'Sale Forecasting (12 months)'!I7</f>
        <v>0</v>
      </c>
      <c r="J7" s="67">
        <f>'Sale Forecasting (12 months)'!J7</f>
        <v>0</v>
      </c>
      <c r="K7" s="67">
        <f>'Sale Forecasting (12 months)'!K7</f>
        <v>0</v>
      </c>
      <c r="L7" s="67">
        <f>'Sale Forecasting (12 months)'!L7</f>
        <v>0</v>
      </c>
      <c r="M7" s="67">
        <f>'Sale Forecasting (12 months)'!M7</f>
        <v>0</v>
      </c>
      <c r="N7" s="92">
        <f>'Sale Forecasting (12 months)'!N7</f>
        <v>0</v>
      </c>
    </row>
    <row r="8" spans="1:14" ht="19.95" customHeight="1" x14ac:dyDescent="0.3">
      <c r="A8" s="66" t="s">
        <v>4</v>
      </c>
      <c r="B8" s="67">
        <f>'Sale Forecasting (12 months)'!B8</f>
        <v>0</v>
      </c>
      <c r="C8" s="67">
        <f>'Sale Forecasting (12 months)'!C8</f>
        <v>0</v>
      </c>
      <c r="D8" s="67">
        <f>'Sale Forecasting (12 months)'!D8</f>
        <v>0</v>
      </c>
      <c r="E8" s="67">
        <f>'Sale Forecasting (12 months)'!E8</f>
        <v>0</v>
      </c>
      <c r="F8" s="67">
        <f>'Sale Forecasting (12 months)'!F8</f>
        <v>0</v>
      </c>
      <c r="G8" s="67">
        <f>'Sale Forecasting (12 months)'!G8</f>
        <v>0</v>
      </c>
      <c r="H8" s="67">
        <f>'Sale Forecasting (12 months)'!H8</f>
        <v>0</v>
      </c>
      <c r="I8" s="67">
        <f>'Sale Forecasting (12 months)'!I8</f>
        <v>0</v>
      </c>
      <c r="J8" s="67">
        <f>'Sale Forecasting (12 months)'!J8</f>
        <v>0</v>
      </c>
      <c r="K8" s="67">
        <f>'Sale Forecasting (12 months)'!K8</f>
        <v>0</v>
      </c>
      <c r="L8" s="67">
        <f>'Sale Forecasting (12 months)'!L8</f>
        <v>0</v>
      </c>
      <c r="M8" s="67">
        <f>'Sale Forecasting (12 months)'!M8</f>
        <v>0</v>
      </c>
      <c r="N8" s="92">
        <f>'Sale Forecasting (12 months)'!N8</f>
        <v>0</v>
      </c>
    </row>
    <row r="9" spans="1:14" s="70" customFormat="1" ht="19.95" customHeight="1" x14ac:dyDescent="0.3">
      <c r="A9" s="68" t="s">
        <v>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 t="s">
        <v>11</v>
      </c>
    </row>
    <row r="10" spans="1:14" ht="19.95" customHeight="1" x14ac:dyDescent="0.3">
      <c r="A10" s="66" t="s">
        <v>2</v>
      </c>
      <c r="B10" s="71">
        <f>'Sale Forecasting (12 months)'!B10</f>
        <v>20</v>
      </c>
      <c r="C10" s="71">
        <f>'Sale Forecasting (12 months)'!C10</f>
        <v>20</v>
      </c>
      <c r="D10" s="71">
        <f>'Sale Forecasting (12 months)'!D10</f>
        <v>20</v>
      </c>
      <c r="E10" s="71">
        <f>'Sale Forecasting (12 months)'!E10</f>
        <v>20</v>
      </c>
      <c r="F10" s="71">
        <f>'Sale Forecasting (12 months)'!F10</f>
        <v>20</v>
      </c>
      <c r="G10" s="71">
        <f>'Sale Forecasting (12 months)'!G10</f>
        <v>20</v>
      </c>
      <c r="H10" s="71">
        <f>'Sale Forecasting (12 months)'!H10</f>
        <v>20</v>
      </c>
      <c r="I10" s="71">
        <f>'Sale Forecasting (12 months)'!I10</f>
        <v>20</v>
      </c>
      <c r="J10" s="71">
        <f>'Sale Forecasting (12 months)'!J10</f>
        <v>20</v>
      </c>
      <c r="K10" s="71">
        <f>'Sale Forecasting (12 months)'!K10</f>
        <v>20</v>
      </c>
      <c r="L10" s="71">
        <f>'Sale Forecasting (12 months)'!L10</f>
        <v>20</v>
      </c>
      <c r="M10" s="71">
        <f>'Sale Forecasting (12 months)'!M10</f>
        <v>20</v>
      </c>
      <c r="N10" s="94">
        <f>'Sale Forecasting (12 months)'!N10</f>
        <v>20</v>
      </c>
    </row>
    <row r="11" spans="1:14" ht="19.95" customHeight="1" x14ac:dyDescent="0.3">
      <c r="A11" s="66" t="s">
        <v>3</v>
      </c>
      <c r="B11" s="71">
        <f>'Sale Forecasting (12 months)'!B11</f>
        <v>0</v>
      </c>
      <c r="C11" s="71">
        <f>'Sale Forecasting (12 months)'!C11</f>
        <v>0</v>
      </c>
      <c r="D11" s="71">
        <f>'Sale Forecasting (12 months)'!D11</f>
        <v>0</v>
      </c>
      <c r="E11" s="71">
        <f>'Sale Forecasting (12 months)'!E11</f>
        <v>0</v>
      </c>
      <c r="F11" s="71">
        <f>'Sale Forecasting (12 months)'!F11</f>
        <v>0</v>
      </c>
      <c r="G11" s="71">
        <f>'Sale Forecasting (12 months)'!G11</f>
        <v>0</v>
      </c>
      <c r="H11" s="71">
        <f>'Sale Forecasting (12 months)'!H11</f>
        <v>0</v>
      </c>
      <c r="I11" s="71">
        <f>'Sale Forecasting (12 months)'!I11</f>
        <v>0</v>
      </c>
      <c r="J11" s="71">
        <f>'Sale Forecasting (12 months)'!J11</f>
        <v>0</v>
      </c>
      <c r="K11" s="71">
        <f>'Sale Forecasting (12 months)'!K11</f>
        <v>0</v>
      </c>
      <c r="L11" s="71">
        <f>'Sale Forecasting (12 months)'!L11</f>
        <v>0</v>
      </c>
      <c r="M11" s="71">
        <f>'Sale Forecasting (12 months)'!M11</f>
        <v>0</v>
      </c>
      <c r="N11" s="94">
        <f>'Sale Forecasting (12 months)'!N11</f>
        <v>0</v>
      </c>
    </row>
    <row r="12" spans="1:14" ht="19.95" customHeight="1" x14ac:dyDescent="0.3">
      <c r="A12" s="66" t="s">
        <v>4</v>
      </c>
      <c r="B12" s="71">
        <f>'Sale Forecasting (12 months)'!B12</f>
        <v>0</v>
      </c>
      <c r="C12" s="71">
        <f>'Sale Forecasting (12 months)'!C12</f>
        <v>0</v>
      </c>
      <c r="D12" s="71">
        <f>'Sale Forecasting (12 months)'!D12</f>
        <v>0</v>
      </c>
      <c r="E12" s="71">
        <f>'Sale Forecasting (12 months)'!E12</f>
        <v>0</v>
      </c>
      <c r="F12" s="71">
        <f>'Sale Forecasting (12 months)'!F12</f>
        <v>0</v>
      </c>
      <c r="G12" s="71">
        <f>'Sale Forecasting (12 months)'!G12</f>
        <v>0</v>
      </c>
      <c r="H12" s="71">
        <f>'Sale Forecasting (12 months)'!H12</f>
        <v>0</v>
      </c>
      <c r="I12" s="71">
        <f>'Sale Forecasting (12 months)'!I12</f>
        <v>0</v>
      </c>
      <c r="J12" s="71">
        <f>'Sale Forecasting (12 months)'!J12</f>
        <v>0</v>
      </c>
      <c r="K12" s="71">
        <f>'Sale Forecasting (12 months)'!K12</f>
        <v>0</v>
      </c>
      <c r="L12" s="71">
        <f>'Sale Forecasting (12 months)'!L12</f>
        <v>0</v>
      </c>
      <c r="M12" s="71">
        <f>'Sale Forecasting (12 months)'!M12</f>
        <v>0</v>
      </c>
      <c r="N12" s="94">
        <f>'Sale Forecasting (12 months)'!N12</f>
        <v>0</v>
      </c>
    </row>
    <row r="13" spans="1:14" s="70" customFormat="1" ht="19.95" customHeight="1" x14ac:dyDescent="0.3">
      <c r="A13" s="68" t="s">
        <v>6</v>
      </c>
      <c r="B13" s="72" t="s">
        <v>13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 t="s">
        <v>7</v>
      </c>
    </row>
    <row r="14" spans="1:14" ht="19.95" customHeight="1" x14ac:dyDescent="0.3">
      <c r="A14" s="66" t="s">
        <v>2</v>
      </c>
      <c r="B14" s="74">
        <f>'Sale Forecasting (12 months)'!B14</f>
        <v>5000</v>
      </c>
      <c r="C14" s="74">
        <f>'Sale Forecasting (12 months)'!C14</f>
        <v>6000</v>
      </c>
      <c r="D14" s="74">
        <f>'Sale Forecasting (12 months)'!D14</f>
        <v>6800</v>
      </c>
      <c r="E14" s="74">
        <f>'Sale Forecasting (12 months)'!E14</f>
        <v>7600</v>
      </c>
      <c r="F14" s="74">
        <f>'Sale Forecasting (12 months)'!F14</f>
        <v>8000</v>
      </c>
      <c r="G14" s="74">
        <f>'Sale Forecasting (12 months)'!G14</f>
        <v>8400</v>
      </c>
      <c r="H14" s="74">
        <f>'Sale Forecasting (12 months)'!H14</f>
        <v>10000</v>
      </c>
      <c r="I14" s="74">
        <f>'Sale Forecasting (12 months)'!I14</f>
        <v>11000</v>
      </c>
      <c r="J14" s="74">
        <f>'Sale Forecasting (12 months)'!J14</f>
        <v>13000</v>
      </c>
      <c r="K14" s="74">
        <f>'Sale Forecasting (12 months)'!K14</f>
        <v>14000</v>
      </c>
      <c r="L14" s="74">
        <f>'Sale Forecasting (12 months)'!L14</f>
        <v>16000</v>
      </c>
      <c r="M14" s="74">
        <f>'Sale Forecasting (12 months)'!M14</f>
        <v>20000</v>
      </c>
      <c r="N14" s="95">
        <f>'Sale Forecasting (12 months)'!N14</f>
        <v>125800</v>
      </c>
    </row>
    <row r="15" spans="1:14" ht="19.95" customHeight="1" x14ac:dyDescent="0.3">
      <c r="A15" s="66" t="s">
        <v>3</v>
      </c>
      <c r="B15" s="74">
        <f>'Sale Forecasting (12 months)'!B15</f>
        <v>0</v>
      </c>
      <c r="C15" s="74">
        <f>'Sale Forecasting (12 months)'!C15</f>
        <v>0</v>
      </c>
      <c r="D15" s="74">
        <f>'Sale Forecasting (12 months)'!D15</f>
        <v>0</v>
      </c>
      <c r="E15" s="74">
        <f>'Sale Forecasting (12 months)'!E15</f>
        <v>0</v>
      </c>
      <c r="F15" s="74">
        <f>'Sale Forecasting (12 months)'!F15</f>
        <v>0</v>
      </c>
      <c r="G15" s="74">
        <f>'Sale Forecasting (12 months)'!G15</f>
        <v>0</v>
      </c>
      <c r="H15" s="74">
        <f>'Sale Forecasting (12 months)'!H15</f>
        <v>0</v>
      </c>
      <c r="I15" s="74">
        <f>'Sale Forecasting (12 months)'!I15</f>
        <v>0</v>
      </c>
      <c r="J15" s="74">
        <f>'Sale Forecasting (12 months)'!J15</f>
        <v>0</v>
      </c>
      <c r="K15" s="74">
        <f>'Sale Forecasting (12 months)'!K15</f>
        <v>0</v>
      </c>
      <c r="L15" s="74">
        <f>'Sale Forecasting (12 months)'!L15</f>
        <v>0</v>
      </c>
      <c r="M15" s="74">
        <f>'Sale Forecasting (12 months)'!M15</f>
        <v>0</v>
      </c>
      <c r="N15" s="95">
        <f>'Sale Forecasting (12 months)'!N15</f>
        <v>0</v>
      </c>
    </row>
    <row r="16" spans="1:14" ht="19.95" customHeight="1" x14ac:dyDescent="0.3">
      <c r="A16" s="66" t="s">
        <v>4</v>
      </c>
      <c r="B16" s="74">
        <f>'Sale Forecasting (12 months)'!B16</f>
        <v>0</v>
      </c>
      <c r="C16" s="74">
        <f>'Sale Forecasting (12 months)'!C16</f>
        <v>0</v>
      </c>
      <c r="D16" s="74">
        <f>'Sale Forecasting (12 months)'!D16</f>
        <v>0</v>
      </c>
      <c r="E16" s="74">
        <f>'Sale Forecasting (12 months)'!E16</f>
        <v>0</v>
      </c>
      <c r="F16" s="74">
        <f>'Sale Forecasting (12 months)'!F16</f>
        <v>0</v>
      </c>
      <c r="G16" s="74">
        <f>'Sale Forecasting (12 months)'!G16</f>
        <v>0</v>
      </c>
      <c r="H16" s="74">
        <f>'Sale Forecasting (12 months)'!H16</f>
        <v>0</v>
      </c>
      <c r="I16" s="74">
        <f>'Sale Forecasting (12 months)'!I16</f>
        <v>0</v>
      </c>
      <c r="J16" s="74">
        <f>'Sale Forecasting (12 months)'!J16</f>
        <v>0</v>
      </c>
      <c r="K16" s="74">
        <f>'Sale Forecasting (12 months)'!K16</f>
        <v>0</v>
      </c>
      <c r="L16" s="74">
        <f>'Sale Forecasting (12 months)'!L16</f>
        <v>0</v>
      </c>
      <c r="M16" s="74">
        <f>'Sale Forecasting (12 months)'!M16</f>
        <v>0</v>
      </c>
      <c r="N16" s="95">
        <f>'Sale Forecasting (12 months)'!N16</f>
        <v>0</v>
      </c>
    </row>
    <row r="17" spans="1:14" ht="19.95" customHeight="1" x14ac:dyDescent="0.3">
      <c r="A17" s="85" t="s">
        <v>7</v>
      </c>
      <c r="B17" s="86">
        <f>'Sale Forecasting (12 months)'!B17</f>
        <v>5000</v>
      </c>
      <c r="C17" s="86">
        <f>'Sale Forecasting (12 months)'!C17</f>
        <v>6000</v>
      </c>
      <c r="D17" s="86">
        <f>'Sale Forecasting (12 months)'!D17</f>
        <v>6800</v>
      </c>
      <c r="E17" s="86">
        <f>'Sale Forecasting (12 months)'!E17</f>
        <v>7600</v>
      </c>
      <c r="F17" s="86">
        <f>'Sale Forecasting (12 months)'!F17</f>
        <v>8000</v>
      </c>
      <c r="G17" s="86">
        <f>'Sale Forecasting (12 months)'!G17</f>
        <v>8400</v>
      </c>
      <c r="H17" s="86">
        <f>'Sale Forecasting (12 months)'!H17</f>
        <v>10000</v>
      </c>
      <c r="I17" s="86">
        <f>'Sale Forecasting (12 months)'!I17</f>
        <v>11000</v>
      </c>
      <c r="J17" s="86">
        <f>'Sale Forecasting (12 months)'!J17</f>
        <v>13000</v>
      </c>
      <c r="K17" s="86">
        <f>'Sale Forecasting (12 months)'!K17</f>
        <v>14000</v>
      </c>
      <c r="L17" s="86">
        <f>'Sale Forecasting (12 months)'!L17</f>
        <v>16000</v>
      </c>
      <c r="M17" s="86">
        <f>'Sale Forecasting (12 months)'!M17</f>
        <v>20000</v>
      </c>
      <c r="N17" s="86">
        <f>'Sale Forecasting (12 months)'!N17</f>
        <v>125800</v>
      </c>
    </row>
    <row r="18" spans="1:14" s="70" customFormat="1" ht="19.95" customHeight="1" x14ac:dyDescent="0.3">
      <c r="A18" s="68" t="s">
        <v>65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 t="s">
        <v>12</v>
      </c>
    </row>
    <row r="19" spans="1:14" ht="19.95" customHeight="1" x14ac:dyDescent="0.3">
      <c r="A19" s="66" t="s">
        <v>2</v>
      </c>
      <c r="B19" s="71">
        <f>'Sale Forecasting (12 months)'!B19</f>
        <v>15</v>
      </c>
      <c r="C19" s="71">
        <f>'Sale Forecasting (12 months)'!C19</f>
        <v>15</v>
      </c>
      <c r="D19" s="71">
        <f>'Sale Forecasting (12 months)'!D19</f>
        <v>15</v>
      </c>
      <c r="E19" s="71">
        <f>'Sale Forecasting (12 months)'!E19</f>
        <v>15</v>
      </c>
      <c r="F19" s="71">
        <f>'Sale Forecasting (12 months)'!F19</f>
        <v>15</v>
      </c>
      <c r="G19" s="71">
        <f>'Sale Forecasting (12 months)'!G19</f>
        <v>15</v>
      </c>
      <c r="H19" s="71">
        <f>'Sale Forecasting (12 months)'!H19</f>
        <v>15</v>
      </c>
      <c r="I19" s="71">
        <f>'Sale Forecasting (12 months)'!I19</f>
        <v>15</v>
      </c>
      <c r="J19" s="71">
        <f>'Sale Forecasting (12 months)'!J19</f>
        <v>15</v>
      </c>
      <c r="K19" s="71">
        <f>'Sale Forecasting (12 months)'!K19</f>
        <v>15</v>
      </c>
      <c r="L19" s="71">
        <f>'Sale Forecasting (12 months)'!L19</f>
        <v>15</v>
      </c>
      <c r="M19" s="71">
        <f>'Sale Forecasting (12 months)'!M19</f>
        <v>15</v>
      </c>
      <c r="N19" s="94">
        <f>'Sale Forecasting (12 months)'!N19</f>
        <v>15</v>
      </c>
    </row>
    <row r="20" spans="1:14" ht="19.95" customHeight="1" x14ac:dyDescent="0.3">
      <c r="A20" s="66" t="s">
        <v>3</v>
      </c>
      <c r="B20" s="71">
        <f>'Sale Forecasting (12 months)'!B20</f>
        <v>0</v>
      </c>
      <c r="C20" s="71">
        <f>'Sale Forecasting (12 months)'!C20</f>
        <v>0</v>
      </c>
      <c r="D20" s="71">
        <f>'Sale Forecasting (12 months)'!D20</f>
        <v>0</v>
      </c>
      <c r="E20" s="71">
        <f>'Sale Forecasting (12 months)'!E20</f>
        <v>0</v>
      </c>
      <c r="F20" s="71">
        <f>'Sale Forecasting (12 months)'!F20</f>
        <v>0</v>
      </c>
      <c r="G20" s="71">
        <f>'Sale Forecasting (12 months)'!G20</f>
        <v>0</v>
      </c>
      <c r="H20" s="71">
        <f>'Sale Forecasting (12 months)'!H20</f>
        <v>0</v>
      </c>
      <c r="I20" s="71">
        <f>'Sale Forecasting (12 months)'!I20</f>
        <v>0</v>
      </c>
      <c r="J20" s="71">
        <f>'Sale Forecasting (12 months)'!J20</f>
        <v>0</v>
      </c>
      <c r="K20" s="71">
        <f>'Sale Forecasting (12 months)'!K20</f>
        <v>0</v>
      </c>
      <c r="L20" s="71">
        <f>'Sale Forecasting (12 months)'!L20</f>
        <v>0</v>
      </c>
      <c r="M20" s="71">
        <f>'Sale Forecasting (12 months)'!M20</f>
        <v>0</v>
      </c>
      <c r="N20" s="94">
        <f>'Sale Forecasting (12 months)'!N20</f>
        <v>0</v>
      </c>
    </row>
    <row r="21" spans="1:14" ht="19.95" customHeight="1" x14ac:dyDescent="0.3">
      <c r="A21" s="66" t="s">
        <v>4</v>
      </c>
      <c r="B21" s="71">
        <f>'Sale Forecasting (12 months)'!B21</f>
        <v>0</v>
      </c>
      <c r="C21" s="71">
        <f>'Sale Forecasting (12 months)'!C21</f>
        <v>0</v>
      </c>
      <c r="D21" s="71">
        <f>'Sale Forecasting (12 months)'!D21</f>
        <v>0</v>
      </c>
      <c r="E21" s="71">
        <f>'Sale Forecasting (12 months)'!E21</f>
        <v>0</v>
      </c>
      <c r="F21" s="71">
        <f>'Sale Forecasting (12 months)'!F21</f>
        <v>0</v>
      </c>
      <c r="G21" s="71">
        <f>'Sale Forecasting (12 months)'!G21</f>
        <v>0</v>
      </c>
      <c r="H21" s="71">
        <f>'Sale Forecasting (12 months)'!H21</f>
        <v>0</v>
      </c>
      <c r="I21" s="71">
        <f>'Sale Forecasting (12 months)'!I21</f>
        <v>0</v>
      </c>
      <c r="J21" s="71">
        <f>'Sale Forecasting (12 months)'!J21</f>
        <v>0</v>
      </c>
      <c r="K21" s="71">
        <f>'Sale Forecasting (12 months)'!K21</f>
        <v>0</v>
      </c>
      <c r="L21" s="71">
        <f>'Sale Forecasting (12 months)'!L21</f>
        <v>0</v>
      </c>
      <c r="M21" s="71">
        <f>'Sale Forecasting (12 months)'!M21</f>
        <v>0</v>
      </c>
      <c r="N21" s="94">
        <f>'Sale Forecasting (12 months)'!N21</f>
        <v>0</v>
      </c>
    </row>
    <row r="22" spans="1:14" s="70" customFormat="1" ht="19.95" customHeight="1" x14ac:dyDescent="0.3">
      <c r="A22" s="68" t="s">
        <v>63</v>
      </c>
      <c r="B22" s="91" t="s">
        <v>66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 t="s">
        <v>64</v>
      </c>
    </row>
    <row r="23" spans="1:14" ht="19.95" customHeight="1" x14ac:dyDescent="0.3">
      <c r="A23" s="66" t="s">
        <v>2</v>
      </c>
      <c r="B23" s="71">
        <f>'Sale Forecasting (12 months)'!B23</f>
        <v>3750</v>
      </c>
      <c r="C23" s="71">
        <f>'Sale Forecasting (12 months)'!C23</f>
        <v>4500</v>
      </c>
      <c r="D23" s="71">
        <f>'Sale Forecasting (12 months)'!D23</f>
        <v>5100</v>
      </c>
      <c r="E23" s="71">
        <f>'Sale Forecasting (12 months)'!E23</f>
        <v>5700</v>
      </c>
      <c r="F23" s="71">
        <f>'Sale Forecasting (12 months)'!F23</f>
        <v>6000</v>
      </c>
      <c r="G23" s="71">
        <f>'Sale Forecasting (12 months)'!G23</f>
        <v>6300</v>
      </c>
      <c r="H23" s="71">
        <f>'Sale Forecasting (12 months)'!H23</f>
        <v>7500</v>
      </c>
      <c r="I23" s="71">
        <f>'Sale Forecasting (12 months)'!I23</f>
        <v>8250</v>
      </c>
      <c r="J23" s="71">
        <f>'Sale Forecasting (12 months)'!J23</f>
        <v>9750</v>
      </c>
      <c r="K23" s="71">
        <f>'Sale Forecasting (12 months)'!K23</f>
        <v>10500</v>
      </c>
      <c r="L23" s="71">
        <f>'Sale Forecasting (12 months)'!L23</f>
        <v>12000</v>
      </c>
      <c r="M23" s="71">
        <f>'Sale Forecasting (12 months)'!M23</f>
        <v>15000</v>
      </c>
      <c r="N23" s="93">
        <f>'Sale Forecasting (12 months)'!N23</f>
        <v>94350</v>
      </c>
    </row>
    <row r="24" spans="1:14" ht="19.95" customHeight="1" x14ac:dyDescent="0.3">
      <c r="A24" s="66" t="s">
        <v>3</v>
      </c>
      <c r="B24" s="71">
        <f>'Sale Forecasting (12 months)'!B24</f>
        <v>0</v>
      </c>
      <c r="C24" s="71">
        <f>'Sale Forecasting (12 months)'!C24</f>
        <v>0</v>
      </c>
      <c r="D24" s="71">
        <f>'Sale Forecasting (12 months)'!D24</f>
        <v>0</v>
      </c>
      <c r="E24" s="71">
        <f>'Sale Forecasting (12 months)'!E24</f>
        <v>0</v>
      </c>
      <c r="F24" s="71">
        <f>'Sale Forecasting (12 months)'!F24</f>
        <v>0</v>
      </c>
      <c r="G24" s="71">
        <f>'Sale Forecasting (12 months)'!G24</f>
        <v>0</v>
      </c>
      <c r="H24" s="71">
        <f>'Sale Forecasting (12 months)'!H24</f>
        <v>0</v>
      </c>
      <c r="I24" s="71">
        <f>'Sale Forecasting (12 months)'!I24</f>
        <v>0</v>
      </c>
      <c r="J24" s="71">
        <f>'Sale Forecasting (12 months)'!J24</f>
        <v>0</v>
      </c>
      <c r="K24" s="71">
        <f>'Sale Forecasting (12 months)'!K24</f>
        <v>0</v>
      </c>
      <c r="L24" s="71">
        <f>'Sale Forecasting (12 months)'!L24</f>
        <v>0</v>
      </c>
      <c r="M24" s="71">
        <f>'Sale Forecasting (12 months)'!M24</f>
        <v>0</v>
      </c>
      <c r="N24" s="93">
        <f>'Sale Forecasting (12 months)'!N24</f>
        <v>0</v>
      </c>
    </row>
    <row r="25" spans="1:14" ht="19.95" customHeight="1" x14ac:dyDescent="0.3">
      <c r="A25" s="66" t="s">
        <v>4</v>
      </c>
      <c r="B25" s="71">
        <f>'Sale Forecasting (12 months)'!B25</f>
        <v>0</v>
      </c>
      <c r="C25" s="71">
        <f>'Sale Forecasting (12 months)'!C25</f>
        <v>0</v>
      </c>
      <c r="D25" s="71">
        <f>'Sale Forecasting (12 months)'!D25</f>
        <v>0</v>
      </c>
      <c r="E25" s="71">
        <f>'Sale Forecasting (12 months)'!E25</f>
        <v>0</v>
      </c>
      <c r="F25" s="71">
        <f>'Sale Forecasting (12 months)'!F25</f>
        <v>0</v>
      </c>
      <c r="G25" s="71">
        <f>'Sale Forecasting (12 months)'!G25</f>
        <v>0</v>
      </c>
      <c r="H25" s="71">
        <f>'Sale Forecasting (12 months)'!H25</f>
        <v>0</v>
      </c>
      <c r="I25" s="71">
        <f>'Sale Forecasting (12 months)'!I25</f>
        <v>0</v>
      </c>
      <c r="J25" s="71">
        <f>'Sale Forecasting (12 months)'!J25</f>
        <v>0</v>
      </c>
      <c r="K25" s="71">
        <f>'Sale Forecasting (12 months)'!K25</f>
        <v>0</v>
      </c>
      <c r="L25" s="71">
        <f>'Sale Forecasting (12 months)'!L25</f>
        <v>0</v>
      </c>
      <c r="M25" s="71">
        <f>'Sale Forecasting (12 months)'!M25</f>
        <v>0</v>
      </c>
      <c r="N25" s="93">
        <f>'Sale Forecasting (12 months)'!N25</f>
        <v>0</v>
      </c>
    </row>
    <row r="26" spans="1:14" ht="19.95" customHeight="1" x14ac:dyDescent="0.3">
      <c r="A26" s="85" t="s">
        <v>64</v>
      </c>
      <c r="B26" s="86">
        <f>'Sale Forecasting (12 months)'!B26</f>
        <v>3750</v>
      </c>
      <c r="C26" s="86">
        <f>'Sale Forecasting (12 months)'!C26</f>
        <v>4500</v>
      </c>
      <c r="D26" s="86">
        <f>'Sale Forecasting (12 months)'!D26</f>
        <v>5100</v>
      </c>
      <c r="E26" s="86">
        <f>'Sale Forecasting (12 months)'!E26</f>
        <v>5700</v>
      </c>
      <c r="F26" s="86">
        <f>'Sale Forecasting (12 months)'!F26</f>
        <v>6000</v>
      </c>
      <c r="G26" s="86">
        <f>'Sale Forecasting (12 months)'!G26</f>
        <v>6300</v>
      </c>
      <c r="H26" s="86">
        <f>'Sale Forecasting (12 months)'!H26</f>
        <v>7500</v>
      </c>
      <c r="I26" s="86">
        <f>'Sale Forecasting (12 months)'!I26</f>
        <v>8250</v>
      </c>
      <c r="J26" s="86">
        <f>'Sale Forecasting (12 months)'!J26</f>
        <v>9750</v>
      </c>
      <c r="K26" s="86">
        <f>'Sale Forecasting (12 months)'!K26</f>
        <v>10500</v>
      </c>
      <c r="L26" s="86">
        <f>'Sale Forecasting (12 months)'!L26</f>
        <v>12000</v>
      </c>
      <c r="M26" s="86">
        <f>'Sale Forecasting (12 months)'!M26</f>
        <v>15000</v>
      </c>
      <c r="N26" s="86">
        <f>'Sale Forecasting (12 months)'!N26</f>
        <v>94350</v>
      </c>
    </row>
    <row r="27" spans="1:14" s="70" customFormat="1" ht="19.95" customHeight="1" x14ac:dyDescent="0.3">
      <c r="A27" s="68" t="s">
        <v>14</v>
      </c>
      <c r="B27" s="75" t="s">
        <v>16</v>
      </c>
      <c r="C27" s="76"/>
      <c r="D27" s="76"/>
      <c r="E27" s="68"/>
      <c r="F27" s="68"/>
      <c r="G27" s="68"/>
      <c r="H27" s="68"/>
      <c r="I27" s="68"/>
      <c r="J27" s="68"/>
      <c r="K27" s="68"/>
      <c r="L27" s="68"/>
      <c r="M27" s="68"/>
      <c r="N27" s="68" t="s">
        <v>76</v>
      </c>
    </row>
    <row r="28" spans="1:14" ht="19.95" customHeight="1" x14ac:dyDescent="0.3">
      <c r="A28" s="66" t="s">
        <v>2</v>
      </c>
      <c r="B28" s="71">
        <f>'Sale Forecasting (12 months)'!B28</f>
        <v>5</v>
      </c>
      <c r="C28" s="71">
        <f>'Sale Forecasting (12 months)'!C28</f>
        <v>5</v>
      </c>
      <c r="D28" s="71">
        <f>'Sale Forecasting (12 months)'!D28</f>
        <v>5</v>
      </c>
      <c r="E28" s="71">
        <f>'Sale Forecasting (12 months)'!E28</f>
        <v>5</v>
      </c>
      <c r="F28" s="71">
        <f>'Sale Forecasting (12 months)'!F28</f>
        <v>5</v>
      </c>
      <c r="G28" s="71">
        <f>'Sale Forecasting (12 months)'!G28</f>
        <v>5</v>
      </c>
      <c r="H28" s="71">
        <f>'Sale Forecasting (12 months)'!H28</f>
        <v>5</v>
      </c>
      <c r="I28" s="71">
        <f>'Sale Forecasting (12 months)'!I28</f>
        <v>5</v>
      </c>
      <c r="J28" s="71">
        <f>'Sale Forecasting (12 months)'!J28</f>
        <v>5</v>
      </c>
      <c r="K28" s="71">
        <f>'Sale Forecasting (12 months)'!K28</f>
        <v>5</v>
      </c>
      <c r="L28" s="71">
        <f>'Sale Forecasting (12 months)'!L28</f>
        <v>5</v>
      </c>
      <c r="M28" s="71">
        <f>'Sale Forecasting (12 months)'!M28</f>
        <v>5</v>
      </c>
      <c r="N28" s="94">
        <f>'Sale Forecasting (12 months)'!N28</f>
        <v>5</v>
      </c>
    </row>
    <row r="29" spans="1:14" ht="19.95" customHeight="1" x14ac:dyDescent="0.3">
      <c r="A29" s="66" t="s">
        <v>3</v>
      </c>
      <c r="B29" s="71">
        <f>'Sale Forecasting (12 months)'!B29</f>
        <v>0</v>
      </c>
      <c r="C29" s="71">
        <f>'Sale Forecasting (12 months)'!C29</f>
        <v>0</v>
      </c>
      <c r="D29" s="71">
        <f>'Sale Forecasting (12 months)'!D29</f>
        <v>0</v>
      </c>
      <c r="E29" s="71">
        <f>'Sale Forecasting (12 months)'!E29</f>
        <v>0</v>
      </c>
      <c r="F29" s="71">
        <f>'Sale Forecasting (12 months)'!F29</f>
        <v>0</v>
      </c>
      <c r="G29" s="71">
        <f>'Sale Forecasting (12 months)'!G29</f>
        <v>0</v>
      </c>
      <c r="H29" s="71">
        <f>'Sale Forecasting (12 months)'!H29</f>
        <v>0</v>
      </c>
      <c r="I29" s="71">
        <f>'Sale Forecasting (12 months)'!I29</f>
        <v>0</v>
      </c>
      <c r="J29" s="71">
        <f>'Sale Forecasting (12 months)'!J29</f>
        <v>0</v>
      </c>
      <c r="K29" s="71">
        <f>'Sale Forecasting (12 months)'!K29</f>
        <v>0</v>
      </c>
      <c r="L29" s="71">
        <f>'Sale Forecasting (12 months)'!L29</f>
        <v>0</v>
      </c>
      <c r="M29" s="71">
        <f>'Sale Forecasting (12 months)'!M29</f>
        <v>0</v>
      </c>
      <c r="N29" s="94">
        <f>'Sale Forecasting (12 months)'!N29</f>
        <v>0</v>
      </c>
    </row>
    <row r="30" spans="1:14" ht="19.95" customHeight="1" x14ac:dyDescent="0.3">
      <c r="A30" s="66" t="s">
        <v>4</v>
      </c>
      <c r="B30" s="71">
        <f>'Sale Forecasting (12 months)'!B30</f>
        <v>0</v>
      </c>
      <c r="C30" s="71">
        <f>'Sale Forecasting (12 months)'!C30</f>
        <v>0</v>
      </c>
      <c r="D30" s="71">
        <f>'Sale Forecasting (12 months)'!D30</f>
        <v>0</v>
      </c>
      <c r="E30" s="71">
        <f>'Sale Forecasting (12 months)'!E30</f>
        <v>0</v>
      </c>
      <c r="F30" s="71">
        <f>'Sale Forecasting (12 months)'!F30</f>
        <v>0</v>
      </c>
      <c r="G30" s="71">
        <f>'Sale Forecasting (12 months)'!G30</f>
        <v>0</v>
      </c>
      <c r="H30" s="71">
        <f>'Sale Forecasting (12 months)'!H30</f>
        <v>0</v>
      </c>
      <c r="I30" s="71">
        <f>'Sale Forecasting (12 months)'!I30</f>
        <v>0</v>
      </c>
      <c r="J30" s="71">
        <f>'Sale Forecasting (12 months)'!J30</f>
        <v>0</v>
      </c>
      <c r="K30" s="71">
        <f>'Sale Forecasting (12 months)'!K30</f>
        <v>0</v>
      </c>
      <c r="L30" s="71">
        <f>'Sale Forecasting (12 months)'!L30</f>
        <v>0</v>
      </c>
      <c r="M30" s="71">
        <f>'Sale Forecasting (12 months)'!M30</f>
        <v>0</v>
      </c>
      <c r="N30" s="94">
        <f>'Sale Forecasting (12 months)'!N30</f>
        <v>0</v>
      </c>
    </row>
    <row r="31" spans="1:14" ht="19.95" customHeight="1" x14ac:dyDescent="0.3">
      <c r="A31" s="68" t="s">
        <v>0</v>
      </c>
      <c r="B31" s="75" t="s">
        <v>15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68" t="s">
        <v>8</v>
      </c>
    </row>
    <row r="32" spans="1:14" ht="19.95" customHeight="1" x14ac:dyDescent="0.3">
      <c r="A32" s="78" t="s">
        <v>2</v>
      </c>
      <c r="B32" s="71">
        <f>'Sale Forecasting (12 months)'!B32</f>
        <v>1250</v>
      </c>
      <c r="C32" s="71">
        <f>'Sale Forecasting (12 months)'!C32</f>
        <v>1500</v>
      </c>
      <c r="D32" s="71">
        <f>'Sale Forecasting (12 months)'!D32</f>
        <v>1700</v>
      </c>
      <c r="E32" s="71">
        <f>'Sale Forecasting (12 months)'!E32</f>
        <v>1900</v>
      </c>
      <c r="F32" s="71">
        <f>'Sale Forecasting (12 months)'!F32</f>
        <v>2000</v>
      </c>
      <c r="G32" s="71">
        <f>'Sale Forecasting (12 months)'!G32</f>
        <v>2100</v>
      </c>
      <c r="H32" s="71">
        <f>'Sale Forecasting (12 months)'!H32</f>
        <v>2500</v>
      </c>
      <c r="I32" s="71">
        <f>'Sale Forecasting (12 months)'!I32</f>
        <v>2750</v>
      </c>
      <c r="J32" s="71">
        <f>'Sale Forecasting (12 months)'!J32</f>
        <v>3250</v>
      </c>
      <c r="K32" s="71">
        <f>'Sale Forecasting (12 months)'!K32</f>
        <v>3500</v>
      </c>
      <c r="L32" s="71">
        <f>'Sale Forecasting (12 months)'!L32</f>
        <v>4000</v>
      </c>
      <c r="M32" s="71">
        <f>'Sale Forecasting (12 months)'!M32</f>
        <v>5000</v>
      </c>
      <c r="N32" s="94">
        <f>'Sale Forecasting (12 months)'!N32</f>
        <v>31450</v>
      </c>
    </row>
    <row r="33" spans="1:14" ht="19.95" customHeight="1" x14ac:dyDescent="0.3">
      <c r="A33" s="78" t="s">
        <v>3</v>
      </c>
      <c r="B33" s="71">
        <f>'Sale Forecasting (12 months)'!B33</f>
        <v>0</v>
      </c>
      <c r="C33" s="71">
        <f>'Sale Forecasting (12 months)'!C33</f>
        <v>0</v>
      </c>
      <c r="D33" s="71">
        <f>'Sale Forecasting (12 months)'!D33</f>
        <v>0</v>
      </c>
      <c r="E33" s="71">
        <f>'Sale Forecasting (12 months)'!E33</f>
        <v>0</v>
      </c>
      <c r="F33" s="71">
        <f>'Sale Forecasting (12 months)'!F33</f>
        <v>0</v>
      </c>
      <c r="G33" s="71">
        <f>'Sale Forecasting (12 months)'!G33</f>
        <v>0</v>
      </c>
      <c r="H33" s="71">
        <f>'Sale Forecasting (12 months)'!H33</f>
        <v>0</v>
      </c>
      <c r="I33" s="71">
        <f>'Sale Forecasting (12 months)'!I33</f>
        <v>0</v>
      </c>
      <c r="J33" s="71">
        <f>'Sale Forecasting (12 months)'!J33</f>
        <v>0</v>
      </c>
      <c r="K33" s="71">
        <f>'Sale Forecasting (12 months)'!K33</f>
        <v>0</v>
      </c>
      <c r="L33" s="71">
        <f>'Sale Forecasting (12 months)'!L33</f>
        <v>0</v>
      </c>
      <c r="M33" s="71">
        <f>'Sale Forecasting (12 months)'!M33</f>
        <v>0</v>
      </c>
      <c r="N33" s="94">
        <f>'Sale Forecasting (12 months)'!N33</f>
        <v>0</v>
      </c>
    </row>
    <row r="34" spans="1:14" ht="19.95" customHeight="1" x14ac:dyDescent="0.3">
      <c r="A34" s="78" t="s">
        <v>4</v>
      </c>
      <c r="B34" s="84">
        <f>'Sale Forecasting (12 months)'!B34</f>
        <v>0</v>
      </c>
      <c r="C34" s="84">
        <f>'Sale Forecasting (12 months)'!C34</f>
        <v>0</v>
      </c>
      <c r="D34" s="84">
        <f>'Sale Forecasting (12 months)'!D34</f>
        <v>0</v>
      </c>
      <c r="E34" s="84">
        <f>'Sale Forecasting (12 months)'!E34</f>
        <v>0</v>
      </c>
      <c r="F34" s="84">
        <f>'Sale Forecasting (12 months)'!F34</f>
        <v>0</v>
      </c>
      <c r="G34" s="84">
        <f>'Sale Forecasting (12 months)'!G34</f>
        <v>0</v>
      </c>
      <c r="H34" s="84">
        <f>'Sale Forecasting (12 months)'!H34</f>
        <v>0</v>
      </c>
      <c r="I34" s="84">
        <f>'Sale Forecasting (12 months)'!I34</f>
        <v>0</v>
      </c>
      <c r="J34" s="84">
        <f>'Sale Forecasting (12 months)'!J34</f>
        <v>0</v>
      </c>
      <c r="K34" s="84">
        <f>'Sale Forecasting (12 months)'!K34</f>
        <v>0</v>
      </c>
      <c r="L34" s="84">
        <f>'Sale Forecasting (12 months)'!L34</f>
        <v>0</v>
      </c>
      <c r="M34" s="84">
        <f>'Sale Forecasting (12 months)'!M34</f>
        <v>0</v>
      </c>
      <c r="N34" s="96">
        <f>'Sale Forecasting (12 months)'!N34</f>
        <v>0</v>
      </c>
    </row>
    <row r="35" spans="1:14" ht="19.95" customHeight="1" x14ac:dyDescent="0.3">
      <c r="A35" s="97" t="s">
        <v>8</v>
      </c>
      <c r="B35" s="98">
        <f>'Sale Forecasting (12 months)'!B35</f>
        <v>1250</v>
      </c>
      <c r="C35" s="98">
        <f>'Sale Forecasting (12 months)'!C35</f>
        <v>1500</v>
      </c>
      <c r="D35" s="98">
        <f>'Sale Forecasting (12 months)'!D35</f>
        <v>1700</v>
      </c>
      <c r="E35" s="98">
        <f>'Sale Forecasting (12 months)'!E35</f>
        <v>1900</v>
      </c>
      <c r="F35" s="98">
        <f>'Sale Forecasting (12 months)'!F35</f>
        <v>2000</v>
      </c>
      <c r="G35" s="98">
        <f>'Sale Forecasting (12 months)'!G35</f>
        <v>2100</v>
      </c>
      <c r="H35" s="98">
        <f>'Sale Forecasting (12 months)'!H35</f>
        <v>2500</v>
      </c>
      <c r="I35" s="98">
        <f>'Sale Forecasting (12 months)'!I35</f>
        <v>2750</v>
      </c>
      <c r="J35" s="98">
        <f>'Sale Forecasting (12 months)'!J35</f>
        <v>3250</v>
      </c>
      <c r="K35" s="98">
        <f>'Sale Forecasting (12 months)'!K35</f>
        <v>3500</v>
      </c>
      <c r="L35" s="98">
        <f>'Sale Forecasting (12 months)'!L35</f>
        <v>4000</v>
      </c>
      <c r="M35" s="98">
        <f>'Sale Forecasting (12 months)'!M35</f>
        <v>5000</v>
      </c>
      <c r="N35" s="98">
        <f>'Sale Forecasting (12 months)'!N35</f>
        <v>31450</v>
      </c>
    </row>
    <row r="36" spans="1:14" ht="19.95" customHeight="1" x14ac:dyDescent="0.3">
      <c r="A36" s="63" t="s">
        <v>21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s="70" customFormat="1" ht="19.95" customHeight="1" x14ac:dyDescent="0.3">
      <c r="A37" s="79" t="s">
        <v>68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 t="s">
        <v>77</v>
      </c>
    </row>
    <row r="38" spans="1:14" ht="19.95" customHeight="1" x14ac:dyDescent="0.3">
      <c r="A38" s="66" t="s">
        <v>49</v>
      </c>
      <c r="B38" s="74">
        <f>'Operating Expenses (12 monts)'!B6</f>
        <v>2000</v>
      </c>
      <c r="C38" s="74">
        <f>'Operating Expenses (12 monts)'!C6</f>
        <v>0</v>
      </c>
      <c r="D38" s="74">
        <f>'Operating Expenses (12 monts)'!D6</f>
        <v>0</v>
      </c>
      <c r="E38" s="74">
        <f>'Operating Expenses (12 monts)'!E6</f>
        <v>0</v>
      </c>
      <c r="F38" s="74">
        <f>'Operating Expenses (12 monts)'!F6</f>
        <v>0</v>
      </c>
      <c r="G38" s="74">
        <f>'Operating Expenses (12 monts)'!G6</f>
        <v>0</v>
      </c>
      <c r="H38" s="74">
        <f>'Operating Expenses (12 monts)'!H6</f>
        <v>0</v>
      </c>
      <c r="I38" s="74">
        <f>'Operating Expenses (12 monts)'!I6</f>
        <v>0</v>
      </c>
      <c r="J38" s="74">
        <f>'Operating Expenses (12 monts)'!J6</f>
        <v>0</v>
      </c>
      <c r="K38" s="74">
        <f>'Operating Expenses (12 monts)'!K6</f>
        <v>0</v>
      </c>
      <c r="L38" s="74">
        <f>'Operating Expenses (12 monts)'!L6</f>
        <v>0</v>
      </c>
      <c r="M38" s="74">
        <f>'Operating Expenses (12 monts)'!M6</f>
        <v>0</v>
      </c>
      <c r="N38" s="95">
        <f>'Operating Expenses (12 monts)'!N6</f>
        <v>2000</v>
      </c>
    </row>
    <row r="39" spans="1:14" ht="19.95" customHeight="1" x14ac:dyDescent="0.3">
      <c r="A39" s="66" t="s">
        <v>50</v>
      </c>
      <c r="B39" s="74">
        <f>'Operating Expenses (12 monts)'!B7</f>
        <v>500</v>
      </c>
      <c r="C39" s="74">
        <f>'Operating Expenses (12 monts)'!C7</f>
        <v>0</v>
      </c>
      <c r="D39" s="74">
        <f>'Operating Expenses (12 monts)'!D7</f>
        <v>0</v>
      </c>
      <c r="E39" s="74">
        <f>'Operating Expenses (12 monts)'!E7</f>
        <v>0</v>
      </c>
      <c r="F39" s="74">
        <f>'Operating Expenses (12 monts)'!F7</f>
        <v>0</v>
      </c>
      <c r="G39" s="74">
        <f>'Operating Expenses (12 monts)'!G7</f>
        <v>0</v>
      </c>
      <c r="H39" s="74">
        <f>'Operating Expenses (12 monts)'!H7</f>
        <v>0</v>
      </c>
      <c r="I39" s="74">
        <f>'Operating Expenses (12 monts)'!I7</f>
        <v>0</v>
      </c>
      <c r="J39" s="74">
        <f>'Operating Expenses (12 monts)'!J7</f>
        <v>0</v>
      </c>
      <c r="K39" s="74">
        <f>'Operating Expenses (12 monts)'!K7</f>
        <v>0</v>
      </c>
      <c r="L39" s="74">
        <f>'Operating Expenses (12 monts)'!L7</f>
        <v>0</v>
      </c>
      <c r="M39" s="74">
        <f>'Operating Expenses (12 monts)'!M7</f>
        <v>0</v>
      </c>
      <c r="N39" s="95">
        <f>'Operating Expenses (12 monts)'!N7</f>
        <v>500</v>
      </c>
    </row>
    <row r="40" spans="1:14" ht="19.95" customHeight="1" x14ac:dyDescent="0.3">
      <c r="A40" s="66" t="s">
        <v>51</v>
      </c>
      <c r="B40" s="74">
        <f>'Operating Expenses (12 monts)'!B8</f>
        <v>1300</v>
      </c>
      <c r="C40" s="74">
        <f>'Operating Expenses (12 monts)'!C8</f>
        <v>1300</v>
      </c>
      <c r="D40" s="74">
        <f>'Operating Expenses (12 monts)'!D8</f>
        <v>1300</v>
      </c>
      <c r="E40" s="74">
        <f>'Operating Expenses (12 monts)'!E8</f>
        <v>1300</v>
      </c>
      <c r="F40" s="74">
        <f>'Operating Expenses (12 monts)'!F8</f>
        <v>1300</v>
      </c>
      <c r="G40" s="74">
        <f>'Operating Expenses (12 monts)'!G8</f>
        <v>1300</v>
      </c>
      <c r="H40" s="74">
        <f>'Operating Expenses (12 monts)'!H8</f>
        <v>1300</v>
      </c>
      <c r="I40" s="74">
        <f>'Operating Expenses (12 monts)'!I8</f>
        <v>1300</v>
      </c>
      <c r="J40" s="74">
        <f>'Operating Expenses (12 monts)'!J8</f>
        <v>1300</v>
      </c>
      <c r="K40" s="74">
        <f>'Operating Expenses (12 monts)'!K8</f>
        <v>1300</v>
      </c>
      <c r="L40" s="74">
        <f>'Operating Expenses (12 monts)'!L8</f>
        <v>1300</v>
      </c>
      <c r="M40" s="74">
        <f>'Operating Expenses (12 monts)'!M8</f>
        <v>1300</v>
      </c>
      <c r="N40" s="95">
        <f>'Operating Expenses (12 monts)'!N8</f>
        <v>15600</v>
      </c>
    </row>
    <row r="41" spans="1:14" ht="19.95" customHeight="1" x14ac:dyDescent="0.3">
      <c r="A41" s="66" t="s">
        <v>48</v>
      </c>
      <c r="B41" s="74">
        <f>'Operating Expenses (12 monts)'!B9</f>
        <v>100</v>
      </c>
      <c r="C41" s="74">
        <f>'Operating Expenses (12 monts)'!C9</f>
        <v>100</v>
      </c>
      <c r="D41" s="74">
        <f>'Operating Expenses (12 monts)'!D9</f>
        <v>100</v>
      </c>
      <c r="E41" s="74">
        <f>'Operating Expenses (12 monts)'!E9</f>
        <v>100</v>
      </c>
      <c r="F41" s="74">
        <f>'Operating Expenses (12 monts)'!F9</f>
        <v>100</v>
      </c>
      <c r="G41" s="74">
        <f>'Operating Expenses (12 monts)'!G9</f>
        <v>100</v>
      </c>
      <c r="H41" s="74">
        <f>'Operating Expenses (12 monts)'!H9</f>
        <v>100</v>
      </c>
      <c r="I41" s="74">
        <f>'Operating Expenses (12 monts)'!I9</f>
        <v>100</v>
      </c>
      <c r="J41" s="74">
        <f>'Operating Expenses (12 monts)'!J9</f>
        <v>100</v>
      </c>
      <c r="K41" s="74">
        <f>'Operating Expenses (12 monts)'!K9</f>
        <v>100</v>
      </c>
      <c r="L41" s="74">
        <f>'Operating Expenses (12 monts)'!L9</f>
        <v>100</v>
      </c>
      <c r="M41" s="74">
        <f>'Operating Expenses (12 monts)'!M9</f>
        <v>100</v>
      </c>
      <c r="N41" s="95">
        <f>'Operating Expenses (12 monts)'!N9</f>
        <v>1200</v>
      </c>
    </row>
    <row r="42" spans="1:14" ht="19.95" customHeight="1" x14ac:dyDescent="0.3">
      <c r="A42" s="66" t="s">
        <v>55</v>
      </c>
      <c r="B42" s="74">
        <f>'Operating Expenses (12 monts)'!B10</f>
        <v>200</v>
      </c>
      <c r="C42" s="74">
        <f>'Operating Expenses (12 monts)'!C10</f>
        <v>200</v>
      </c>
      <c r="D42" s="74">
        <f>'Operating Expenses (12 monts)'!D10</f>
        <v>200</v>
      </c>
      <c r="E42" s="74">
        <f>'Operating Expenses (12 monts)'!E10</f>
        <v>200</v>
      </c>
      <c r="F42" s="74">
        <f>'Operating Expenses (12 monts)'!F10</f>
        <v>200</v>
      </c>
      <c r="G42" s="74">
        <f>'Operating Expenses (12 monts)'!G10</f>
        <v>200</v>
      </c>
      <c r="H42" s="74">
        <f>'Operating Expenses (12 monts)'!H10</f>
        <v>200</v>
      </c>
      <c r="I42" s="74">
        <f>'Operating Expenses (12 monts)'!I10</f>
        <v>200</v>
      </c>
      <c r="J42" s="74">
        <f>'Operating Expenses (12 monts)'!J10</f>
        <v>200</v>
      </c>
      <c r="K42" s="74">
        <f>'Operating Expenses (12 monts)'!K10</f>
        <v>200</v>
      </c>
      <c r="L42" s="74">
        <f>'Operating Expenses (12 monts)'!L10</f>
        <v>200</v>
      </c>
      <c r="M42" s="74">
        <f>'Operating Expenses (12 monts)'!M10</f>
        <v>200</v>
      </c>
      <c r="N42" s="95">
        <f>'Operating Expenses (12 monts)'!N10</f>
        <v>2400</v>
      </c>
    </row>
    <row r="43" spans="1:14" s="70" customFormat="1" ht="19.95" customHeight="1" x14ac:dyDescent="0.3">
      <c r="A43" s="79" t="s">
        <v>18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1" t="s">
        <v>78</v>
      </c>
    </row>
    <row r="44" spans="1:14" ht="19.95" customHeight="1" x14ac:dyDescent="0.3">
      <c r="A44" s="66" t="s">
        <v>53</v>
      </c>
      <c r="B44" s="74">
        <f>'Operating Expenses (12 monts)'!B12</f>
        <v>50</v>
      </c>
      <c r="C44" s="74">
        <f>'Operating Expenses (12 monts)'!C12</f>
        <v>50</v>
      </c>
      <c r="D44" s="74">
        <f>'Operating Expenses (12 monts)'!D12</f>
        <v>50</v>
      </c>
      <c r="E44" s="74">
        <f>'Operating Expenses (12 monts)'!E12</f>
        <v>0</v>
      </c>
      <c r="F44" s="74">
        <f>'Operating Expenses (12 monts)'!F12</f>
        <v>0</v>
      </c>
      <c r="G44" s="74">
        <f>'Operating Expenses (12 monts)'!G12</f>
        <v>0</v>
      </c>
      <c r="H44" s="74">
        <f>'Operating Expenses (12 monts)'!H12</f>
        <v>0</v>
      </c>
      <c r="I44" s="74">
        <f>'Operating Expenses (12 monts)'!I12</f>
        <v>50</v>
      </c>
      <c r="J44" s="74">
        <f>'Operating Expenses (12 monts)'!J12</f>
        <v>50</v>
      </c>
      <c r="K44" s="74">
        <f>'Operating Expenses (12 monts)'!K12</f>
        <v>0</v>
      </c>
      <c r="L44" s="74">
        <f>'Operating Expenses (12 monts)'!L12</f>
        <v>0</v>
      </c>
      <c r="M44" s="74">
        <f>'Operating Expenses (12 monts)'!M12</f>
        <v>0</v>
      </c>
      <c r="N44" s="95">
        <f>'Operating Expenses (12 monts)'!N12</f>
        <v>250</v>
      </c>
    </row>
    <row r="45" spans="1:14" ht="19.95" customHeight="1" x14ac:dyDescent="0.3">
      <c r="A45" s="66" t="s">
        <v>47</v>
      </c>
      <c r="B45" s="74">
        <f>'Operating Expenses (12 monts)'!B13</f>
        <v>50</v>
      </c>
      <c r="C45" s="74">
        <f>'Operating Expenses (12 monts)'!C13</f>
        <v>0</v>
      </c>
      <c r="D45" s="74">
        <f>'Operating Expenses (12 monts)'!D13</f>
        <v>0</v>
      </c>
      <c r="E45" s="74">
        <f>'Operating Expenses (12 monts)'!E13</f>
        <v>0</v>
      </c>
      <c r="F45" s="74">
        <f>'Operating Expenses (12 monts)'!F13</f>
        <v>0</v>
      </c>
      <c r="G45" s="74">
        <f>'Operating Expenses (12 monts)'!G13</f>
        <v>0</v>
      </c>
      <c r="H45" s="74">
        <f>'Operating Expenses (12 monts)'!H13</f>
        <v>0</v>
      </c>
      <c r="I45" s="74">
        <f>'Operating Expenses (12 monts)'!I13</f>
        <v>0</v>
      </c>
      <c r="J45" s="74">
        <f>'Operating Expenses (12 monts)'!J13</f>
        <v>0</v>
      </c>
      <c r="K45" s="74">
        <f>'Operating Expenses (12 monts)'!K13</f>
        <v>0</v>
      </c>
      <c r="L45" s="74">
        <f>'Operating Expenses (12 monts)'!L13</f>
        <v>0</v>
      </c>
      <c r="M45" s="74">
        <f>'Operating Expenses (12 monts)'!M13</f>
        <v>0</v>
      </c>
      <c r="N45" s="95">
        <f>'Operating Expenses (12 monts)'!N13</f>
        <v>50</v>
      </c>
    </row>
    <row r="46" spans="1:14" ht="19.95" customHeight="1" x14ac:dyDescent="0.3">
      <c r="A46" s="66" t="s">
        <v>54</v>
      </c>
      <c r="B46" s="74">
        <f>'Operating Expenses (12 monts)'!B14</f>
        <v>100</v>
      </c>
      <c r="C46" s="74">
        <f>'Operating Expenses (12 monts)'!C14</f>
        <v>100</v>
      </c>
      <c r="D46" s="74">
        <f>'Operating Expenses (12 monts)'!D14</f>
        <v>100</v>
      </c>
      <c r="E46" s="74">
        <f>'Operating Expenses (12 monts)'!E14</f>
        <v>100</v>
      </c>
      <c r="F46" s="74">
        <f>'Operating Expenses (12 monts)'!F14</f>
        <v>100</v>
      </c>
      <c r="G46" s="74">
        <f>'Operating Expenses (12 monts)'!G14</f>
        <v>100</v>
      </c>
      <c r="H46" s="74">
        <f>'Operating Expenses (12 monts)'!H14</f>
        <v>100</v>
      </c>
      <c r="I46" s="74">
        <f>'Operating Expenses (12 monts)'!I14</f>
        <v>100</v>
      </c>
      <c r="J46" s="74">
        <f>'Operating Expenses (12 monts)'!J14</f>
        <v>100</v>
      </c>
      <c r="K46" s="74">
        <f>'Operating Expenses (12 monts)'!K14</f>
        <v>100</v>
      </c>
      <c r="L46" s="74">
        <f>'Operating Expenses (12 monts)'!L14</f>
        <v>100</v>
      </c>
      <c r="M46" s="74">
        <f>'Operating Expenses (12 monts)'!M14</f>
        <v>100</v>
      </c>
      <c r="N46" s="95">
        <f>'Operating Expenses (12 monts)'!N14</f>
        <v>1200</v>
      </c>
    </row>
    <row r="47" spans="1:14" ht="19.95" customHeight="1" x14ac:dyDescent="0.3">
      <c r="A47" s="66" t="s">
        <v>52</v>
      </c>
      <c r="B47" s="74">
        <f>'Operating Expenses (12 monts)'!B15</f>
        <v>100</v>
      </c>
      <c r="C47" s="74">
        <f>'Operating Expenses (12 monts)'!C15</f>
        <v>100</v>
      </c>
      <c r="D47" s="74">
        <f>'Operating Expenses (12 monts)'!D15</f>
        <v>100</v>
      </c>
      <c r="E47" s="74">
        <f>'Operating Expenses (12 monts)'!E15</f>
        <v>100</v>
      </c>
      <c r="F47" s="74">
        <f>'Operating Expenses (12 monts)'!F15</f>
        <v>100</v>
      </c>
      <c r="G47" s="74">
        <f>'Operating Expenses (12 monts)'!G15</f>
        <v>100</v>
      </c>
      <c r="H47" s="74">
        <f>'Operating Expenses (12 monts)'!H15</f>
        <v>100</v>
      </c>
      <c r="I47" s="74">
        <f>'Operating Expenses (12 monts)'!I15</f>
        <v>100</v>
      </c>
      <c r="J47" s="74">
        <f>'Operating Expenses (12 monts)'!J15</f>
        <v>100</v>
      </c>
      <c r="K47" s="74">
        <f>'Operating Expenses (12 monts)'!K15</f>
        <v>100</v>
      </c>
      <c r="L47" s="74">
        <f>'Operating Expenses (12 monts)'!L15</f>
        <v>100</v>
      </c>
      <c r="M47" s="74">
        <f>'Operating Expenses (12 monts)'!M15</f>
        <v>100</v>
      </c>
      <c r="N47" s="95">
        <f>'Operating Expenses (12 monts)'!N15</f>
        <v>1200</v>
      </c>
    </row>
    <row r="48" spans="1:14" ht="19.95" customHeight="1" x14ac:dyDescent="0.3">
      <c r="A48" s="85" t="s">
        <v>19</v>
      </c>
      <c r="B48" s="86">
        <f>'Operating Expenses (12 monts)'!B16</f>
        <v>4400</v>
      </c>
      <c r="C48" s="86">
        <f>'Operating Expenses (12 monts)'!C16</f>
        <v>1850</v>
      </c>
      <c r="D48" s="86">
        <f>'Operating Expenses (12 monts)'!D16</f>
        <v>1850</v>
      </c>
      <c r="E48" s="86">
        <f>'Operating Expenses (12 monts)'!E16</f>
        <v>1800</v>
      </c>
      <c r="F48" s="86">
        <f>'Operating Expenses (12 monts)'!F16</f>
        <v>1800</v>
      </c>
      <c r="G48" s="86">
        <f>'Operating Expenses (12 monts)'!G16</f>
        <v>1800</v>
      </c>
      <c r="H48" s="86">
        <f>'Operating Expenses (12 monts)'!H16</f>
        <v>1800</v>
      </c>
      <c r="I48" s="86">
        <f>'Operating Expenses (12 monts)'!I16</f>
        <v>1850</v>
      </c>
      <c r="J48" s="86">
        <f>'Operating Expenses (12 monts)'!J16</f>
        <v>1850</v>
      </c>
      <c r="K48" s="86">
        <f>'Operating Expenses (12 monts)'!K16</f>
        <v>1800</v>
      </c>
      <c r="L48" s="86">
        <f>'Operating Expenses (12 monts)'!L16</f>
        <v>1800</v>
      </c>
      <c r="M48" s="86">
        <f>'Operating Expenses (12 monts)'!M16</f>
        <v>1800</v>
      </c>
      <c r="N48" s="86">
        <f>'Operating Expenses (12 monts)'!N16</f>
        <v>24400</v>
      </c>
    </row>
    <row r="49" spans="1:14" ht="19.95" customHeight="1" x14ac:dyDescent="0.3">
      <c r="A49" s="82" t="s">
        <v>22</v>
      </c>
      <c r="B49" s="83">
        <f t="shared" ref="B49:N49" si="0">B35-B48</f>
        <v>-3150</v>
      </c>
      <c r="C49" s="83">
        <f t="shared" si="0"/>
        <v>-350</v>
      </c>
      <c r="D49" s="83">
        <f t="shared" si="0"/>
        <v>-150</v>
      </c>
      <c r="E49" s="83">
        <f t="shared" si="0"/>
        <v>100</v>
      </c>
      <c r="F49" s="83">
        <f t="shared" si="0"/>
        <v>200</v>
      </c>
      <c r="G49" s="83">
        <f t="shared" si="0"/>
        <v>300</v>
      </c>
      <c r="H49" s="83">
        <f t="shared" si="0"/>
        <v>700</v>
      </c>
      <c r="I49" s="83">
        <f t="shared" si="0"/>
        <v>900</v>
      </c>
      <c r="J49" s="83">
        <f t="shared" si="0"/>
        <v>1400</v>
      </c>
      <c r="K49" s="83">
        <f t="shared" si="0"/>
        <v>1700</v>
      </c>
      <c r="L49" s="83">
        <f t="shared" si="0"/>
        <v>2200</v>
      </c>
      <c r="M49" s="83">
        <f t="shared" si="0"/>
        <v>3200</v>
      </c>
      <c r="N49" s="83">
        <f t="shared" si="0"/>
        <v>7050</v>
      </c>
    </row>
    <row r="50" spans="1:14" ht="19.95" customHeight="1" x14ac:dyDescent="0.3">
      <c r="A50" s="87" t="s">
        <v>67</v>
      </c>
      <c r="B50" s="88">
        <v>0</v>
      </c>
      <c r="C50" s="88">
        <v>0</v>
      </c>
      <c r="D50" s="88">
        <v>0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f>SUM(B50:M50)</f>
        <v>0</v>
      </c>
    </row>
    <row r="51" spans="1:14" ht="19.95" customHeight="1" x14ac:dyDescent="0.3">
      <c r="A51" s="87" t="s">
        <v>73</v>
      </c>
      <c r="B51" s="88">
        <v>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f>SUM(B51:M51)</f>
        <v>0</v>
      </c>
    </row>
    <row r="52" spans="1:14" ht="19.95" customHeight="1" x14ac:dyDescent="0.3">
      <c r="A52" s="85" t="s">
        <v>74</v>
      </c>
      <c r="B52" s="86">
        <f>B17*0.1</f>
        <v>500</v>
      </c>
      <c r="C52" s="86">
        <f t="shared" ref="C52:N52" si="1">C17*0.1</f>
        <v>600</v>
      </c>
      <c r="D52" s="86">
        <f t="shared" si="1"/>
        <v>680</v>
      </c>
      <c r="E52" s="86">
        <f t="shared" si="1"/>
        <v>760</v>
      </c>
      <c r="F52" s="86">
        <f t="shared" si="1"/>
        <v>800</v>
      </c>
      <c r="G52" s="86">
        <f t="shared" si="1"/>
        <v>840</v>
      </c>
      <c r="H52" s="86">
        <f t="shared" si="1"/>
        <v>1000</v>
      </c>
      <c r="I52" s="86">
        <f t="shared" si="1"/>
        <v>1100</v>
      </c>
      <c r="J52" s="86">
        <f t="shared" si="1"/>
        <v>1300</v>
      </c>
      <c r="K52" s="86">
        <f t="shared" si="1"/>
        <v>1400</v>
      </c>
      <c r="L52" s="86">
        <f t="shared" si="1"/>
        <v>1600</v>
      </c>
      <c r="M52" s="86">
        <f t="shared" si="1"/>
        <v>2000</v>
      </c>
      <c r="N52" s="86">
        <f t="shared" si="1"/>
        <v>12580</v>
      </c>
    </row>
    <row r="53" spans="1:14" ht="19.95" customHeight="1" x14ac:dyDescent="0.3">
      <c r="A53" s="89" t="s">
        <v>75</v>
      </c>
      <c r="B53" s="90">
        <f>B49+B50-B52</f>
        <v>-3650</v>
      </c>
      <c r="C53" s="90">
        <f t="shared" ref="C53:N53" si="2">C49+C50-C52</f>
        <v>-950</v>
      </c>
      <c r="D53" s="90">
        <f t="shared" si="2"/>
        <v>-830</v>
      </c>
      <c r="E53" s="90">
        <f t="shared" si="2"/>
        <v>-660</v>
      </c>
      <c r="F53" s="90">
        <f t="shared" si="2"/>
        <v>-600</v>
      </c>
      <c r="G53" s="90">
        <f t="shared" si="2"/>
        <v>-540</v>
      </c>
      <c r="H53" s="90">
        <f t="shared" si="2"/>
        <v>-300</v>
      </c>
      <c r="I53" s="90">
        <f t="shared" si="2"/>
        <v>-200</v>
      </c>
      <c r="J53" s="90">
        <f t="shared" si="2"/>
        <v>100</v>
      </c>
      <c r="K53" s="90">
        <f t="shared" si="2"/>
        <v>300</v>
      </c>
      <c r="L53" s="90">
        <f t="shared" si="2"/>
        <v>600</v>
      </c>
      <c r="M53" s="90">
        <f t="shared" si="2"/>
        <v>1200</v>
      </c>
      <c r="N53" s="90">
        <f t="shared" si="2"/>
        <v>-5530</v>
      </c>
    </row>
  </sheetData>
  <mergeCells count="1">
    <mergeCell ref="A1:N1"/>
  </mergeCells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055E-FDCF-4F5B-9E30-F8B6C48227C1}">
  <dimension ref="A1:D12"/>
  <sheetViews>
    <sheetView zoomScaleNormal="100" workbookViewId="0">
      <selection activeCell="P22" sqref="P22"/>
    </sheetView>
  </sheetViews>
  <sheetFormatPr defaultColWidth="8.77734375" defaultRowHeight="14.4" x14ac:dyDescent="0.3"/>
  <cols>
    <col min="1" max="1" width="3.109375" customWidth="1"/>
    <col min="2" max="2" width="21" customWidth="1"/>
    <col min="3" max="3" width="12.33203125" customWidth="1"/>
  </cols>
  <sheetData>
    <row r="1" spans="1:4" ht="15.75" customHeight="1" x14ac:dyDescent="0.3">
      <c r="A1" s="104" t="s">
        <v>37</v>
      </c>
      <c r="B1" s="104"/>
      <c r="C1" s="104"/>
      <c r="D1" s="104"/>
    </row>
    <row r="2" spans="1:4" ht="14.25" customHeight="1" x14ac:dyDescent="0.3">
      <c r="A2" s="104"/>
      <c r="B2" s="104"/>
      <c r="C2" s="104"/>
      <c r="D2" s="104"/>
    </row>
    <row r="3" spans="1:4" x14ac:dyDescent="0.3">
      <c r="A3" s="107" t="s">
        <v>38</v>
      </c>
      <c r="B3" s="107"/>
      <c r="C3" s="107"/>
    </row>
    <row r="4" spans="1:4" x14ac:dyDescent="0.3">
      <c r="A4" s="49" t="s">
        <v>44</v>
      </c>
      <c r="B4" s="49" t="s">
        <v>38</v>
      </c>
      <c r="C4" s="49" t="s">
        <v>45</v>
      </c>
    </row>
    <row r="5" spans="1:4" x14ac:dyDescent="0.3">
      <c r="A5" s="45">
        <v>1</v>
      </c>
      <c r="B5" s="46" t="s">
        <v>39</v>
      </c>
      <c r="C5" s="47">
        <v>0</v>
      </c>
    </row>
    <row r="6" spans="1:4" x14ac:dyDescent="0.3">
      <c r="A6" s="45">
        <v>2</v>
      </c>
      <c r="B6" s="46" t="s">
        <v>56</v>
      </c>
      <c r="C6" s="47">
        <v>0</v>
      </c>
    </row>
    <row r="7" spans="1:4" x14ac:dyDescent="0.3">
      <c r="A7" s="45">
        <v>3</v>
      </c>
      <c r="B7" s="46" t="s">
        <v>40</v>
      </c>
      <c r="C7" s="47">
        <v>0</v>
      </c>
    </row>
    <row r="8" spans="1:4" x14ac:dyDescent="0.3">
      <c r="A8" s="45">
        <v>4</v>
      </c>
      <c r="B8" s="46" t="s">
        <v>41</v>
      </c>
      <c r="C8" s="47">
        <v>0</v>
      </c>
    </row>
    <row r="9" spans="1:4" x14ac:dyDescent="0.3">
      <c r="A9" s="45">
        <v>5</v>
      </c>
      <c r="B9" s="46" t="s">
        <v>42</v>
      </c>
      <c r="C9" s="47">
        <v>0</v>
      </c>
    </row>
    <row r="10" spans="1:4" x14ac:dyDescent="0.3">
      <c r="A10" s="45">
        <v>6</v>
      </c>
      <c r="B10" s="46" t="s">
        <v>43</v>
      </c>
      <c r="C10" s="47">
        <v>0</v>
      </c>
    </row>
    <row r="11" spans="1:4" x14ac:dyDescent="0.3">
      <c r="A11" s="106" t="s">
        <v>46</v>
      </c>
      <c r="B11" s="106"/>
      <c r="C11" s="48">
        <f>SUM(C4:C10)</f>
        <v>0</v>
      </c>
    </row>
    <row r="12" spans="1:4" x14ac:dyDescent="0.3">
      <c r="A12" s="105"/>
      <c r="B12" s="105"/>
      <c r="C12" s="50"/>
    </row>
  </sheetData>
  <mergeCells count="4">
    <mergeCell ref="A1:D2"/>
    <mergeCell ref="A12:B12"/>
    <mergeCell ref="A11:B11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 Forecasting (12 months)</vt:lpstr>
      <vt:lpstr>Operating Expenses (12 monts)</vt:lpstr>
      <vt:lpstr>P&amp;L Statement</vt:lpstr>
      <vt:lpstr>P&amp;L Forecasting (12 Months)</vt:lpstr>
      <vt:lpstr>Start-up Funding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Choeng KhengSeang</cp:lastModifiedBy>
  <dcterms:created xsi:type="dcterms:W3CDTF">2021-11-02T02:04:37Z</dcterms:created>
  <dcterms:modified xsi:type="dcterms:W3CDTF">2024-12-06T01:44:39Z</dcterms:modified>
</cp:coreProperties>
</file>